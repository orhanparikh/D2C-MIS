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Website" sheetId="3" state="visible" r:id="rId3"/>
    <sheet xmlns:r="http://schemas.openxmlformats.org/officeDocument/2006/relationships" name="Quick Commerce" sheetId="4" state="visible" r:id="rId4"/>
    <sheet xmlns:r="http://schemas.openxmlformats.org/officeDocument/2006/relationships" name="Cash &amp; Working Capital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;(#,##0.00);&quot;-&quot;"/>
    <numFmt numFmtId="166" formatCode="0.0%;(0.0%);&quot;-&quot;"/>
    <numFmt numFmtId="167" formatCode="#,##0;(#,##0);&quot;-&quot;"/>
    <numFmt numFmtId="168" formatCode="0.0&quot;x&quot;;(0.0&quot;x&quot;);&quot;-&quot;"/>
    <numFmt numFmtId="169" formatCode="0;(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9E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5" fillId="3" borderId="0" pivotButton="0" quotePrefix="0" xfId="0"/>
    <xf numFmtId="0" fontId="2" fillId="0" borderId="0" applyAlignment="1" pivotButton="0" quotePrefix="0" xfId="0">
      <alignment vertical="top" wrapText="1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0" fillId="2" borderId="0" pivotButton="0" quotePrefix="0" xfId="0"/>
    <xf numFmtId="165" fontId="7" fillId="0" borderId="0" pivotButton="0" quotePrefix="0" xfId="0"/>
    <xf numFmtId="165" fontId="4" fillId="0" borderId="0" pivotButton="0" quotePrefix="0" xfId="0"/>
    <xf numFmtId="0" fontId="3" fillId="6" borderId="0" pivotButton="0" quotePrefix="0" xfId="0"/>
    <xf numFmtId="0" fontId="2" fillId="6" borderId="0" pivotButton="0" quotePrefix="0" xfId="0"/>
    <xf numFmtId="165" fontId="3" fillId="6" borderId="0" pivotButton="0" quotePrefix="0" xfId="0"/>
    <xf numFmtId="166" fontId="4" fillId="0" borderId="0" pivotButton="0" quotePrefix="0" xfId="0"/>
    <xf numFmtId="165" fontId="5" fillId="5" borderId="1" pivotButton="0" quotePrefix="0" xfId="0"/>
    <xf numFmtId="168" fontId="4" fillId="0" borderId="0" pivotButton="0" quotePrefix="0" xfId="0"/>
    <xf numFmtId="167" fontId="5" fillId="5" borderId="1" pivotButton="0" quotePrefix="0" xfId="0"/>
    <xf numFmtId="167" fontId="4" fillId="0" borderId="0" pivotButton="0" quotePrefix="0" xfId="0"/>
    <xf numFmtId="169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d2c-mis</author>
  </authors>
  <commentList>
    <comment ref="A32" authorId="0" shapeId="0">
      <text>
        <t>WHAT: Marketing that builds the brand rather than a specific channel's sales this month.
WHERE: Agency retainers, photoshoots, influencer fees not tied to a sale, PR, brand campaigns. Excl. GST.
COMMON MISTAKE: Splitting it into channels by guesswork. Keep it here so CM2 by channel stays honest.</t>
      </text>
    </comment>
    <comment ref="A37" authorId="0" shapeId="0">
      <text>
        <t>WHAT: Everyone on the team who is not in the warehouse or a store.
WHERE: Payroll for the month incl. PF/ESI and contractors. Exclude warehouse staff (Logistics) and store staff if entered in the offline channel.
COMMON MISTAKE: Leaving out founder salary because it is unpaid. Enter what you would pay; investors add it back anyway.</t>
      </text>
    </comment>
    <comment ref="A38" authorId="0" shapeId="0">
      <text>
        <t>WHAT: Software that runs the business.
WHERE: Shopify bill, app subscriptions, Zoho/Notion/Slack, hosting. Excl. GST.
COMMON MISTAKE: Putting Shopify transaction fees here; those are payment gateway costs.</t>
      </text>
    </comment>
    <comment ref="A39" authorId="0" shapeId="0">
      <text>
        <t>WHAT: Running the office.
WHERE: Office rent, electricity, internet, travel, meals, insurance, bank charges.
COMMON MISTAKE: Including warehouse rent, which belongs in Warehousing.</t>
      </text>
    </comment>
    <comment ref="A40" authorId="0" shapeId="0">
      <text>
        <t>WHAT: Professional advisers.
WHERE: CA, CS, lawyers, consultants.
COMMON MISTAKE: Including agency retainers, which are brand marketing.</t>
      </text>
    </comment>
    <comment ref="A41" authorId="0" shapeId="0">
      <text>
        <t>WHAT: Product you did not sell and did not give as part of a specific campaign.
WHERE: Cost of units given away outside a brand campaign: PR seeding, gifting, trade samples.
COMMON MISTAKE: Leaving this inside COGS, which understates true gross margin.</t>
      </text>
    </comment>
    <comment ref="A42" authorId="0" shapeId="0">
      <text>
        <t>WHAT: Inventory losses. Non-cash but real.
WHERE: Stock written off or sold below cost this month, at cost.
COMMON MISTAKE: Ignoring them until year end; monthly visibility is the point.</t>
      </text>
    </comment>
    <comment ref="A45" authorId="0" shapeId="0">
      <text>
        <t>WHAT: Costs that will not recur and should not be in the run-rate.
WHERE: Fund-raise costs, legal settlements, relocation. Genuinely non-recurring only.
COMMON MISTAKE: Calling every bad month 'one-time'. If it happens twice a year, it is operating.</t>
      </text>
    </comment>
    <comment ref="A49" authorId="0" shapeId="0">
      <text>
        <t>WHAT: Non-cash charge on equipment, moulds, software.
WHERE: From your CA, or leave blank until year end.
COMMON MISTAKE: None; small brands can leave it blank.</t>
      </text>
    </comment>
    <comment ref="A50" authorId="0" shapeId="0">
      <text>
        <t>WHAT: Cost of borrowed money, net of what idle cash earned.
WHERE: Loan and credit-line interest paid, less FD interest earned.
COMMON MISTAKE: Adding FD interest above EBITDA to flatter it. It belongs here.</t>
      </text>
    </comment>
  </commentList>
</comments>
</file>

<file path=xl/comments/comment2.xml><?xml version="1.0" encoding="utf-8"?>
<comments xmlns="http://schemas.openxmlformats.org/spreadsheetml/2006/main">
  <authors>
    <author>d2c-mis</author>
  </authors>
  <commentList>
    <comment ref="A5" authorId="0" shapeId="0">
      <text>
        <t>WHAT: Everything customers ordered and you shipped this month, valued at the price they paid before any discount, including GST.
WHERE: Shopify › Analytics › Gross sales (before discounts, returns and shipping). Woo/Magento: sum of order value incl. GST.
COMMON MISTAKE: Entering Shopify 'Total sales' (already net of discounts and returns) or entering values excluding GST. Enter the gross, GST-inclusive number and let the sheet deduct.</t>
      </text>
    </comment>
    <comment ref="A6" authorId="0" shapeId="0">
      <text>
        <t>WHAT: Discounts the shopper saw at checkout: coupon codes, automatic discounts, sale price-offs. Funded by you.
WHERE: Shopify › Analytics › Discounts.
COMMON MISTAKE: Mixing platform commission in here. Commission is what the platform keeps; discounts are what the customer did not pay.</t>
      </text>
    </comment>
    <comment ref="A7" authorId="0" shapeId="0">
      <text>
        <t>WHAT: Value (at selling price incl. GST) of orders that came back: undelivered COD (RTO), customer returns, cancellations after dispatch.
WHERE: Shopify › Analytics › Returns, plus RTO value from your courier or Shiprocket RTO report.
COMMON MISTAKE: Counting only refunds. RTO on COD orders is the bigger number for most website channels and never shows as a refund.</t>
      </text>
    </comment>
    <comment ref="A13" authorId="0" shapeId="0">
      <text>
        <t>WHAT: The cost of the units you actually sold: product, manufacturing or job-work, and the packaging that touches the product.
WHERE: Contract-manufactured: product cost + primary packaging per unit × units sold this month. Include the cost of testers and samples given away.
COMMON MISTAKE: Entering this month's purchases or factory bills. Purchases go to inventory; COGS is only what left the warehouse as sales. Secondary packaging (shippers, fillers) goes in Logistics.</t>
      </text>
    </comment>
    <comment ref="A18" authorId="0" shapeId="0">
      <text>
        <t>WHAT: Getting product to the customer and back: courier, 3PL pick-pack, RTO charges, COD collection fee, shipping cartons.
WHERE: Shiprocket / Delhivery / Bluedart invoices for the month excl. GST, plus shipper cartons and fillers. Amazon: FBA fulfilment fee.
COMMON MISTAKE: Leaving out reverse and RTO charges, which can be 30–50% of forward cost in COD-heavy or apparel businesses.</t>
      </text>
    </comment>
    <comment ref="A19" authorId="0" shapeId="0">
      <text>
        <t>WHAT: Fees customers paid you for delivery or COD, netted against logistics.
WHERE: Shopify › Analytics › Shipping charges, plus COD handling fees charged to customers. Enter as a positive number; the sheet subtracts it.
COMMON MISTAKE: Entering it as a negative. Enter positive; the formula subtracts.</t>
      </text>
    </comment>
    <comment ref="A20" authorId="0" shapeId="0">
      <text>
        <t>WHAT: Cost of storing and handling stock, before it ships.
WHERE: Warehouse rent, warehouse staff, packing consumables for the month. If shared across channels, split by orders.
COMMON MISTAKE: Putting warehouse staff under Salaries. They scale with orders, so they belong here.</t>
      </text>
    </comment>
    <comment ref="A21" authorId="0" shapeId="0">
      <text>
        <t>WHAT: What the gateway kept from prepaid collections.
WHERE: Razorpay / PayU / Cashfree statement › fees for the month excl. GST. Typically 1.8–2.2% of prepaid collections.
COMMON MISTAKE: Ignoring it because the payout arrives net. Gross up collections and show the fee.</t>
      </text>
    </comment>
    <comment ref="A26" authorId="0" shapeId="0">
      <text>
        <t>WHAT: Paid media and channel advertising that drives this channel's sales this month, excluding GST (you claim the input credit).
WHERE: Meta Ads Manager and Google Ads billing for the month, excluding GST. Add affiliate and influencer payouts tied to sales.
COMMON MISTAKE: Entering the GST-inclusive invoice. Also: agency retainers and content production are brand costs on the Consolidated tab, not here.</t>
      </text>
    </comment>
    <comment ref="A31" authorId="0" shapeId="0">
      <text>
        <t>WHAT: Number of orders that went out. Used for AOV.
WHERE: Shopify › Orders (fulfilled) or marketplace › Orders shipped. Offline / Qcom: units or cases invoiced.
COMMON MISTAKE: Counting orders placed rather than shipped; cancellations inflate it.</t>
      </text>
    </comment>
  </commentList>
</comments>
</file>

<file path=xl/comments/comment3.xml><?xml version="1.0" encoding="utf-8"?>
<comments xmlns="http://schemas.openxmlformats.org/spreadsheetml/2006/main">
  <authors>
    <author>d2c-mis</author>
  </authors>
  <commentList>
    <comment ref="A5" authorId="0" shapeId="0">
      <text>
        <t>WHAT: Everything customers ordered and you shipped this month, valued at the price they paid before any discount, including GST.
WHERE: Partner dashboard › GMV at MRP incl. GST for the month.
COMMON MISTAKE: Entering Shopify 'Total sales' (already net of discounts and returns) or entering values excluding GST. Enter the gross, GST-inclusive number and let the sheet deduct.</t>
      </text>
    </comment>
    <comment ref="A6" authorId="0" shapeId="0">
      <text>
        <t>WHAT: Discounts the shopper saw at checkout: coupon codes, automatic discounts, sale price-offs. Funded by you.
WHERE: Leave blank here if you enter brand-funded promos on the Consumer promotions line.
COMMON MISTAKE: Mixing platform commission in here. Commission is what the platform keeps; discounts are what the customer did not pay.</t>
      </text>
    </comment>
    <comment ref="A7" authorId="0" shapeId="0">
      <text>
        <t>WHAT: The partner's margin when they buy your stock or raise a purchase order: MRP less what you invoice them.
WHERE: MRP less your invoice price to the partner, per the trade agreement (typically 25–40%).
COMMON MISTAKE: Forgetting this line makes GM% look like a website channel. If your invoice already excludes it, GMV must be grossed up to MRP or the line stays zero.</t>
      </text>
    </comment>
    <comment ref="A8" authorId="0" shapeId="0">
      <text>
        <t>WHAT: Value (at selling price incl. GST) of orders that came back: undelivered COD (RTO), customer returns, cancellations after dispatch.
WHERE: Expiry or damage returns reversed on the PO. Usually near zero.
COMMON MISTAKE: Counting only refunds. RTO on COD orders is the bigger number for most website channels and never shows as a refund.</t>
      </text>
    </comment>
    <comment ref="A12" authorId="0" shapeId="0">
      <text>
        <t>WHAT: Price-offs the shopper sees on the quick-commerce app that you fund, per the partner's debit note.
WHERE: Partner's debit note for brand-funded discounts, or dashboard › Promotions › brand share.
COMMON MISTAKE: Leaving it inside 'discounts' when the partner also funds part of the promo. Enter only your share.</t>
      </text>
    </comment>
    <comment ref="A16" authorId="0" shapeId="0">
      <text>
        <t>WHAT: The cost of the units you actually sold: product, manufacturing or job-work, and the packaging that touches the product.
WHERE: Contract-manufactured: product cost + primary packaging per unit × units sold this month. Include the cost of testers and samples given away.
COMMON MISTAKE: Entering this month's purchases or factory bills. Purchases go to inventory; COGS is only what left the warehouse as sales. Secondary packaging (shippers, fillers) goes in Logistics.</t>
      </text>
    </comment>
    <comment ref="A21" authorId="0" shapeId="0">
      <text>
        <t>WHAT: Getting product to the customer and back: courier, 3PL pick-pack, RTO charges, COD collection fee, shipping cartons.
WHERE: Shiprocket / Delhivery / Bluedart invoices for the month excl. GST, plus shipper cartons and fillers. Amazon: FBA fulfilment fee.
COMMON MISTAKE: Leaving out reverse and RTO charges, which can be 30–50% of forward cost in COD-heavy or apparel businesses.</t>
      </text>
    </comment>
    <comment ref="A22" authorId="0" shapeId="0">
      <text>
        <t>WHAT: Cost of storing and handling stock, before it ships.
WHERE: Warehouse rent, warehouse staff, packing consumables for the month. If shared across channels, split by orders.
COMMON MISTAKE: Putting warehouse staff under Salaries. They scale with orders, so they belong here.</t>
      </text>
    </comment>
    <comment ref="A27" authorId="0" shapeId="0">
      <text>
        <t>WHAT: Paid media and channel advertising that drives this channel's sales this month, excluding GST (you claim the input credit).
WHERE: Blinkit / Zepto / Instamart brand dashboard › Ads › spend excluding GST.
COMMON MISTAKE: Entering the GST-inclusive invoice. Also: agency retainers and content production are brand costs on the Consolidated tab, not here.</t>
      </text>
    </comment>
    <comment ref="A32" authorId="0" shapeId="0">
      <text>
        <t>WHAT: Number of orders that went out. Used for AOV.
WHERE: Shopify › Orders (fulfilled) or marketplace › Orders shipped. Offline / Qcom: units or cases invoiced.
COMMON MISTAKE: Counting orders placed rather than shipped; cancellations inflate it.</t>
      </text>
    </comment>
  </commentList>
</comments>
</file>

<file path=xl/comments/comment4.xml><?xml version="1.0" encoding="utf-8"?>
<comments xmlns="http://schemas.openxmlformats.org/spreadsheetml/2006/main">
  <authors>
    <author>d2c-mis</author>
  </authors>
  <commentList>
    <comment ref="A5" authorId="0" shapeId="0">
      <text>
        <t>WHAT: Everything you own that has not been sold, at what it cost you.
WHERE: Stock count or inventory system at month end, valued at cost. Include stock at 3PLs, Amazon FBA, Qcom dark stores that is still yours.
COMMON MISTAKE: Valuing at MRP, or forgetting stock sitting with Amazon and Qcom partners.</t>
      </text>
    </comment>
    <comment ref="A6" authorId="0" shapeId="0">
      <text>
        <t>WHAT: Sales you have made but not been paid for yet.
WHERE: Unsettled marketplace payouts + Qcom / B2B / distributor invoices unpaid + COD remittances pending from couriers.
COMMON MISTAKE: Forgetting COD cash sitting with the courier for 7–10 days.</t>
      </text>
    </comment>
    <comment ref="A7" authorId="0" shapeId="0">
      <text>
        <t>WHAT: Bills you have received but not paid.
WHERE: Unpaid supplier, manufacturer, courier, agency and ad-platform invoices at month end.
COMMON MISTAKE: Excluding credit-card balances used for ads. They are payables.</t>
      </text>
    </comment>
    <comment ref="A15" authorId="0" shapeId="0">
      <text>
        <t>WHAT: Cash at the start of the month.
WHERE: Bank balances on the 1st. Only the first month is typed; later months roll forward.
COMMON MISTAKE: Typing every month. Only month one is an input; the rest are formulas.</t>
      </text>
    </comment>
    <comment ref="A18" authorId="0" shapeId="0">
      <text>
        <t>WHAT: Money spent on things that last more than a year.
WHERE: Asset purchases this month.
COMMON MISTAKE: Putting capex in the P&amp;L as an expense.</t>
      </text>
    </comment>
    <comment ref="A20" authorId="0" shapeId="0">
      <text>
        <t>WHAT: Tax actually paid in cash this month.
WHERE: Advance tax, TDS deposited, net GST cash outflow.
COMMON MISTAKE: Confusing GST collected with GST paid; only the net cash outflow goes here.</t>
      </text>
    </comment>
    <comment ref="A21" authorId="0" shapeId="0">
      <text>
        <t>WHAT: New equity money in.
WHERE: Money received from investors or founders this month.
COMMON MISTAKE: Including convertible notes here and also under debt.</t>
      </text>
    </comment>
    <comment ref="A22" authorId="0" shapeId="0">
      <text>
        <t>WHAT: Net borrowing this month. Negative if you repaid more than you drew.
WHERE: Loans, credit lines, venture debt drawn, net of principal repaid.
COMMON MISTAKE: Entering repayments as positive.</t>
      </text>
    </comment>
    <comment ref="A23" authorId="0" shapeId="0">
      <text>
        <t>WHAT: Catch-all so closing cash matches the bank.
WHERE: Anything else: deposits paid, refunds received, corrections.
COMMON MISTAKE: Using it to hide a P&amp;L gap. Explain any big number in a note.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70" customWidth="1" min="3" max="3"/>
  </cols>
  <sheetData>
    <row r="1">
      <c r="A1" s="1" t="inlineStr">
        <is>
          <t>My Brand — Monthly MIS</t>
        </is>
      </c>
    </row>
    <row r="2">
      <c r="A2" s="2" t="inlineStr">
        <is>
          <t>Investor-grade P&amp;L, channel P&amp;Ls, working capital and cash. Generated by the d2c-mis skill.</t>
        </is>
      </c>
    </row>
    <row r="4">
      <c r="A4" s="3" t="inlineStr">
        <is>
          <t>HOW TO USE THIS WORKBOOK</t>
        </is>
      </c>
    </row>
    <row r="5" ht="30" customHeight="1">
      <c r="A5" s="4" t="inlineStr">
        <is>
          <t>1. Fill the blue cells on each channel tab once a month, from your dashboards. Hover a line label for what goes there, where to find it, and the common mistake.</t>
        </is>
      </c>
    </row>
    <row r="6" ht="30" customHeight="1">
      <c r="A6" s="4" t="inlineStr">
        <is>
          <t>2. Fill brand marketing and fixed costs on the Consolidated P&amp;L tab. Everything else there is a formula that sums the channel tabs.</t>
        </is>
      </c>
    </row>
    <row r="7" ht="30" customHeight="1">
      <c r="A7" s="4" t="inlineStr">
        <is>
          <t>3. Fill month-end inventory, receivables, payables and the cash lines on the Cash &amp; Working Capital tab. Closing cash should match your bank.</t>
        </is>
      </c>
    </row>
    <row r="8" ht="30" customHeight="1">
      <c r="A8" s="4" t="inlineStr">
        <is>
          <t>4. Look at the Checks tab. Anything marked CHECK is worth a second look before you share.</t>
        </is>
      </c>
    </row>
    <row r="9" ht="30" customHeight="1">
      <c r="A9" s="4" t="inlineStr">
        <is>
          <t>5. Enter amounts in the unit shown below, excluding GST on costs (you claim the input credit) and including GST on gross sales (the sheet backs it out).</t>
        </is>
      </c>
    </row>
    <row r="10" ht="30" customHeight="1">
      <c r="A10" s="4" t="inlineStr">
        <is>
          <t>6. Blue cells are inputs. Black cells are formulas; do not overwrite them. Green cells are links from other tabs.</t>
        </is>
      </c>
    </row>
    <row r="12">
      <c r="A12" s="3" t="inlineStr">
        <is>
          <t>SETTINGS</t>
        </is>
      </c>
    </row>
    <row r="13">
      <c r="A13" s="5" t="inlineStr">
        <is>
          <t>Brand</t>
        </is>
      </c>
      <c r="B13" s="6" t="inlineStr">
        <is>
          <t>My Brand</t>
        </is>
      </c>
    </row>
    <row r="14">
      <c r="A14" s="5" t="inlineStr">
        <is>
          <t>Category archetype</t>
        </is>
      </c>
      <c r="B14" s="6" t="inlineStr">
        <is>
          <t>Beauty &amp; personal care</t>
        </is>
      </c>
    </row>
    <row r="15">
      <c r="A15" s="5" t="inlineStr">
        <is>
          <t>Unit for all amounts</t>
        </is>
      </c>
      <c r="B15" s="6" t="inlineStr">
        <is>
          <t>INR lakh</t>
        </is>
      </c>
    </row>
    <row r="16">
      <c r="A16" s="5" t="inlineStr">
        <is>
          <t>First month</t>
        </is>
      </c>
      <c r="B16" s="6" t="inlineStr">
        <is>
          <t>Apr-26</t>
        </is>
      </c>
    </row>
    <row r="17">
      <c r="A17" s="5" t="inlineStr">
        <is>
          <t>Months in this workbook</t>
        </is>
      </c>
      <c r="B17" s="6" t="n">
        <v>12</v>
      </c>
    </row>
    <row r="18">
      <c r="A18" s="5" t="inlineStr">
        <is>
          <t>Generated on</t>
        </is>
      </c>
      <c r="B18" s="6" t="inlineStr">
        <is>
          <t>2026-09-20</t>
        </is>
      </c>
    </row>
    <row r="20">
      <c r="A20" s="3" t="inlineStr">
        <is>
          <t>GST RATE BY CHANNEL (edit if your blended rate differs)</t>
        </is>
      </c>
    </row>
    <row r="21">
      <c r="A21" s="7" t="inlineStr">
        <is>
          <t>Channel</t>
        </is>
      </c>
      <c r="B21" s="7" t="inlineStr">
        <is>
          <t>Output GST rate</t>
        </is>
      </c>
      <c r="C21" s="7" t="inlineStr">
        <is>
          <t>Note</t>
        </is>
      </c>
    </row>
    <row r="22">
      <c r="A22" s="5" t="inlineStr">
        <is>
          <t>Website</t>
        </is>
      </c>
      <c r="B22" s="8" t="n">
        <v>0.18</v>
      </c>
      <c r="C22" s="2" t="inlineStr">
        <is>
          <t>Blended rate on your net revenue in this channel. Apparel: 5% under ₹1,000 MRP, 12% above. Food: 5/12/18% by product.</t>
        </is>
      </c>
    </row>
    <row r="23">
      <c r="A23" s="5" t="inlineStr">
        <is>
          <t>Quick Commerce</t>
        </is>
      </c>
      <c r="B23" s="8" t="n">
        <v>0.18</v>
      </c>
      <c r="C23" s="2" t="inlineStr">
        <is>
          <t>Blended rate on your net revenue in this channel. Apparel: 5% under ₹1,000 MRP, 12% above. Food: 5/12/18% by product.</t>
        </is>
      </c>
    </row>
    <row r="25">
      <c r="A25" s="3" t="inlineStr">
        <is>
          <t>PLACEMENT DECISIONS (recorded so anyone reading the MIS knows the convention)</t>
        </is>
      </c>
    </row>
    <row r="26">
      <c r="A26" s="7" t="inlineStr">
        <is>
          <t>Decision</t>
        </is>
      </c>
      <c r="B26" s="7" t="inlineStr">
        <is>
          <t>Chosen</t>
        </is>
      </c>
      <c r="C26" s="7" t="inlineStr">
        <is>
          <t>Why it matters</t>
        </is>
      </c>
    </row>
    <row r="27" ht="60" customHeight="1">
      <c r="A27" s="4" t="inlineStr">
        <is>
          <t>Brand-funded consumer promotions on quick commerce: revenue deduction or marketing cost?</t>
        </is>
      </c>
      <c r="B27" s="4" t="inlineStr">
        <is>
          <t>Deduct from net sales before gross margin (investor standard; GM% reads lower)</t>
        </is>
      </c>
      <c r="C27" s="9" t="inlineStr">
        <is>
          <t>Moves GM% by 5–6 points in food brands. Investors expect the deduction view; your auditor may prefer marketing. CM3 and EBITDA are identical either way.</t>
        </is>
      </c>
    </row>
    <row r="28" ht="60" customHeight="1">
      <c r="A28" s="4" t="inlineStr">
        <is>
          <t>Shipping and COD fees you collect from website customers: add to revenue or net against logistics?</t>
        </is>
      </c>
      <c r="B28" s="4" t="inlineStr">
        <is>
          <t>Net against logistics cost (keeps GMV clean)</t>
        </is>
      </c>
      <c r="C28" s="9" t="inlineStr">
        <is>
          <t>Both are accepted. Netting keeps AOV and GMV comparable with marketplaces that never show this fee.</t>
        </is>
      </c>
    </row>
    <row r="30">
      <c r="A30" s="3" t="inlineStr">
        <is>
          <t>CHANNELS IN THIS WORKBOOK</t>
        </is>
      </c>
    </row>
    <row r="31">
      <c r="A31" s="5" t="inlineStr">
        <is>
          <t>Website</t>
        </is>
      </c>
      <c r="B31" s="2" t="inlineStr">
        <is>
          <t>Own website</t>
        </is>
      </c>
    </row>
    <row r="32">
      <c r="A32" s="5" t="inlineStr">
        <is>
          <t>Quick Commerce</t>
        </is>
      </c>
      <c r="B32" s="2" t="inlineStr">
        <is>
          <t>Quick commerce</t>
        </is>
      </c>
    </row>
    <row r="34">
      <c r="A34" s="3" t="inlineStr">
        <is>
          <t>ASK THE SKILL (things it can help you think through)</t>
        </is>
      </c>
    </row>
    <row r="35">
      <c r="A35" s="5" t="inlineStr">
        <is>
          <t>• Which margin should I quote when an investor asks "what are your margins?"</t>
        </is>
      </c>
    </row>
    <row r="36">
      <c r="A36" s="5" t="inlineStr">
        <is>
          <t>• My ad platform's RoAS and this sheet's RoAS don't match. Which one is right?</t>
        </is>
      </c>
    </row>
    <row r="37">
      <c r="A37" s="5" t="inlineStr">
        <is>
          <t>• What goes in COGS this month if I bought stock for the next three months?</t>
        </is>
      </c>
    </row>
    <row r="38">
      <c r="A38" s="5" t="inlineStr">
        <is>
          <t>• Should Nykaa be a revenue deduction or a cost, and why does it change my gross margin?</t>
        </is>
      </c>
    </row>
    <row r="39">
      <c r="A39" s="5" t="inlineStr">
        <is>
          <t>• Where do influencer codes, influencer retainers and shoots each go?</t>
        </is>
      </c>
    </row>
    <row r="40">
      <c r="A40" s="5" t="inlineStr">
        <is>
          <t>• What return rate and RoAS should I expect on COD-heavy orders?</t>
        </is>
      </c>
    </row>
    <row r="41" ht="30" customHeight="1">
      <c r="A41" s="9" t="inlineStr">
        <is>
          <t>Hover any line label on the other tabs for what goes there. Ask the skill about any line, any ratio, or what an investor would ask. To add a channel later: "add Amazon". Your numbers are kept.</t>
        </is>
      </c>
    </row>
  </sheetData>
  <mergeCells count="13">
    <mergeCell ref="A10:C10"/>
    <mergeCell ref="A41:C41"/>
    <mergeCell ref="A36:C36"/>
    <mergeCell ref="A5:C5"/>
    <mergeCell ref="A37:C37"/>
    <mergeCell ref="A8:C8"/>
    <mergeCell ref="A6:C6"/>
    <mergeCell ref="A40:C40"/>
    <mergeCell ref="A9:C9"/>
    <mergeCell ref="A39:C39"/>
    <mergeCell ref="A35:C35"/>
    <mergeCell ref="A7:C7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My Brand — Consolidated P&amp;L</t>
        </is>
      </c>
    </row>
    <row r="2">
      <c r="A2" s="2" t="inlineStr">
        <is>
          <t>Channel tabs roll up here automatically. Fill only the blue cells (brand marketing, fixed costs, below-EBITDA). INR lakh.</t>
        </is>
      </c>
    </row>
    <row r="3">
      <c r="A3" s="10" t="inlineStr">
        <is>
          <t>Line item</t>
        </is>
      </c>
      <c r="B3" s="10" t="inlineStr">
        <is>
          <t>Where to find it / how to fill</t>
        </is>
      </c>
      <c r="C3" s="11" t="inlineStr">
        <is>
          <t>Apr-26</t>
        </is>
      </c>
      <c r="D3" s="11" t="inlineStr">
        <is>
          <t>May-26</t>
        </is>
      </c>
      <c r="E3" s="11" t="inlineStr">
        <is>
          <t>Jun-26</t>
        </is>
      </c>
      <c r="F3" s="11" t="inlineStr">
        <is>
          <t>Jul-26</t>
        </is>
      </c>
      <c r="G3" s="11" t="inlineStr">
        <is>
          <t>Aug-26</t>
        </is>
      </c>
      <c r="H3" s="11" t="inlineStr">
        <is>
          <t>Sep-26</t>
        </is>
      </c>
      <c r="I3" s="11" t="inlineStr">
        <is>
          <t>Oct-26</t>
        </is>
      </c>
      <c r="J3" s="11" t="inlineStr">
        <is>
          <t>Nov-26</t>
        </is>
      </c>
      <c r="K3" s="11" t="inlineStr">
        <is>
          <t>Dec-26</t>
        </is>
      </c>
      <c r="L3" s="11" t="inlineStr">
        <is>
          <t>Jan-27</t>
        </is>
      </c>
      <c r="M3" s="11" t="inlineStr">
        <is>
          <t>Feb-27</t>
        </is>
      </c>
      <c r="N3" s="11" t="inlineStr">
        <is>
          <t>Mar-27</t>
        </is>
      </c>
      <c r="O3" s="11" t="inlineStr">
        <is>
          <t>Total / Avg</t>
        </is>
      </c>
    </row>
    <row r="4">
      <c r="A4" s="3" t="inlineStr">
        <is>
          <t>REVENUE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5" t="inlineStr">
        <is>
          <t>Gross sales (GMV) incl. GST</t>
        </is>
      </c>
      <c r="B5" s="2" t="inlineStr">
        <is>
          <t>Sum of channel tabs; do not type here.</t>
        </is>
      </c>
      <c r="C5" s="13">
        <f>'Website'!C5+'Quick Commerce'!C5</f>
        <v/>
      </c>
      <c r="D5" s="13">
        <f>'Website'!D5+'Quick Commerce'!D5</f>
        <v/>
      </c>
      <c r="E5" s="13">
        <f>'Website'!E5+'Quick Commerce'!E5</f>
        <v/>
      </c>
      <c r="F5" s="13">
        <f>'Website'!F5+'Quick Commerce'!F5</f>
        <v/>
      </c>
      <c r="G5" s="13">
        <f>'Website'!G5+'Quick Commerce'!G5</f>
        <v/>
      </c>
      <c r="H5" s="13">
        <f>'Website'!H5+'Quick Commerce'!H5</f>
        <v/>
      </c>
      <c r="I5" s="13">
        <f>'Website'!I5+'Quick Commerce'!I5</f>
        <v/>
      </c>
      <c r="J5" s="13">
        <f>'Website'!J5+'Quick Commerce'!J5</f>
        <v/>
      </c>
      <c r="K5" s="13">
        <f>'Website'!K5+'Quick Commerce'!K5</f>
        <v/>
      </c>
      <c r="L5" s="13">
        <f>'Website'!L5+'Quick Commerce'!L5</f>
        <v/>
      </c>
      <c r="M5" s="13">
        <f>'Website'!M5+'Quick Commerce'!M5</f>
        <v/>
      </c>
      <c r="N5" s="13">
        <f>'Website'!N5+'Quick Commerce'!N5</f>
        <v/>
      </c>
      <c r="O5" s="14">
        <f>SUM(C5:N5)</f>
        <v/>
      </c>
    </row>
    <row r="6">
      <c r="A6" s="5" t="inlineStr">
        <is>
          <t>Consumer discounts &amp; coupons</t>
        </is>
      </c>
      <c r="B6" s="2" t="inlineStr">
        <is>
          <t>Sum of channel tabs; do not type here.</t>
        </is>
      </c>
      <c r="C6" s="13">
        <f>'Website'!C6+'Quick Commerce'!C6</f>
        <v/>
      </c>
      <c r="D6" s="13">
        <f>'Website'!D6+'Quick Commerce'!D6</f>
        <v/>
      </c>
      <c r="E6" s="13">
        <f>'Website'!E6+'Quick Commerce'!E6</f>
        <v/>
      </c>
      <c r="F6" s="13">
        <f>'Website'!F6+'Quick Commerce'!F6</f>
        <v/>
      </c>
      <c r="G6" s="13">
        <f>'Website'!G6+'Quick Commerce'!G6</f>
        <v/>
      </c>
      <c r="H6" s="13">
        <f>'Website'!H6+'Quick Commerce'!H6</f>
        <v/>
      </c>
      <c r="I6" s="13">
        <f>'Website'!I6+'Quick Commerce'!I6</f>
        <v/>
      </c>
      <c r="J6" s="13">
        <f>'Website'!J6+'Quick Commerce'!J6</f>
        <v/>
      </c>
      <c r="K6" s="13">
        <f>'Website'!K6+'Quick Commerce'!K6</f>
        <v/>
      </c>
      <c r="L6" s="13">
        <f>'Website'!L6+'Quick Commerce'!L6</f>
        <v/>
      </c>
      <c r="M6" s="13">
        <f>'Website'!M6+'Quick Commerce'!M6</f>
        <v/>
      </c>
      <c r="N6" s="13">
        <f>'Website'!N6+'Quick Commerce'!N6</f>
        <v/>
      </c>
      <c r="O6" s="14">
        <f>SUM(C6:N6)</f>
        <v/>
      </c>
    </row>
    <row r="7">
      <c r="A7" s="5" t="inlineStr">
        <is>
          <t>Channel / partner margins (netted channels)</t>
        </is>
      </c>
      <c r="B7" s="2" t="inlineStr">
        <is>
          <t>Sum of channel tabs; do not type here.</t>
        </is>
      </c>
      <c r="C7" s="13">
        <f>'Quick Commerce'!C7</f>
        <v/>
      </c>
      <c r="D7" s="13">
        <f>'Quick Commerce'!D7</f>
        <v/>
      </c>
      <c r="E7" s="13">
        <f>'Quick Commerce'!E7</f>
        <v/>
      </c>
      <c r="F7" s="13">
        <f>'Quick Commerce'!F7</f>
        <v/>
      </c>
      <c r="G7" s="13">
        <f>'Quick Commerce'!G7</f>
        <v/>
      </c>
      <c r="H7" s="13">
        <f>'Quick Commerce'!H7</f>
        <v/>
      </c>
      <c r="I7" s="13">
        <f>'Quick Commerce'!I7</f>
        <v/>
      </c>
      <c r="J7" s="13">
        <f>'Quick Commerce'!J7</f>
        <v/>
      </c>
      <c r="K7" s="13">
        <f>'Quick Commerce'!K7</f>
        <v/>
      </c>
      <c r="L7" s="13">
        <f>'Quick Commerce'!L7</f>
        <v/>
      </c>
      <c r="M7" s="13">
        <f>'Quick Commerce'!M7</f>
        <v/>
      </c>
      <c r="N7" s="13">
        <f>'Quick Commerce'!N7</f>
        <v/>
      </c>
      <c r="O7" s="14">
        <f>SUM(C7:N7)</f>
        <v/>
      </c>
    </row>
    <row r="8">
      <c r="A8" s="5" t="inlineStr">
        <is>
          <t>Returns, RTO &amp; cancellations after dispatch</t>
        </is>
      </c>
      <c r="B8" s="2" t="inlineStr">
        <is>
          <t>Sum of channel tabs; do not type here.</t>
        </is>
      </c>
      <c r="C8" s="13">
        <f>'Website'!C7+'Quick Commerce'!C8</f>
        <v/>
      </c>
      <c r="D8" s="13">
        <f>'Website'!D7+'Quick Commerce'!D8</f>
        <v/>
      </c>
      <c r="E8" s="13">
        <f>'Website'!E7+'Quick Commerce'!E8</f>
        <v/>
      </c>
      <c r="F8" s="13">
        <f>'Website'!F7+'Quick Commerce'!F8</f>
        <v/>
      </c>
      <c r="G8" s="13">
        <f>'Website'!G7+'Quick Commerce'!G8</f>
        <v/>
      </c>
      <c r="H8" s="13">
        <f>'Website'!H7+'Quick Commerce'!H8</f>
        <v/>
      </c>
      <c r="I8" s="13">
        <f>'Website'!I7+'Quick Commerce'!I8</f>
        <v/>
      </c>
      <c r="J8" s="13">
        <f>'Website'!J7+'Quick Commerce'!J8</f>
        <v/>
      </c>
      <c r="K8" s="13">
        <f>'Website'!K7+'Quick Commerce'!K8</f>
        <v/>
      </c>
      <c r="L8" s="13">
        <f>'Website'!L7+'Quick Commerce'!L8</f>
        <v/>
      </c>
      <c r="M8" s="13">
        <f>'Website'!M7+'Quick Commerce'!M8</f>
        <v/>
      </c>
      <c r="N8" s="13">
        <f>'Website'!N7+'Quick Commerce'!N8</f>
        <v/>
      </c>
      <c r="O8" s="14">
        <f>SUM(C8:N8)</f>
        <v/>
      </c>
    </row>
    <row r="9">
      <c r="A9" s="5" t="inlineStr">
        <is>
          <t>Net revenue before GST</t>
        </is>
      </c>
      <c r="B9" s="2" t="inlineStr">
        <is>
          <t>Formula; do not type here.</t>
        </is>
      </c>
      <c r="C9" s="14">
        <f>C5-C6-C7-C8-0-0-0+0</f>
        <v/>
      </c>
      <c r="D9" s="14">
        <f>D5-D6-D7-D8-0-0-0+0</f>
        <v/>
      </c>
      <c r="E9" s="14">
        <f>E5-E6-E7-E8-0-0-0+0</f>
        <v/>
      </c>
      <c r="F9" s="14">
        <f>F5-F6-F7-F8-0-0-0+0</f>
        <v/>
      </c>
      <c r="G9" s="14">
        <f>G5-G6-G7-G8-0-0-0+0</f>
        <v/>
      </c>
      <c r="H9" s="14">
        <f>H5-H6-H7-H8-0-0-0+0</f>
        <v/>
      </c>
      <c r="I9" s="14">
        <f>I5-I6-I7-I8-0-0-0+0</f>
        <v/>
      </c>
      <c r="J9" s="14">
        <f>J5-J6-J7-J8-0-0-0+0</f>
        <v/>
      </c>
      <c r="K9" s="14">
        <f>K5-K6-K7-K8-0-0-0+0</f>
        <v/>
      </c>
      <c r="L9" s="14">
        <f>L5-L6-L7-L8-0-0-0+0</f>
        <v/>
      </c>
      <c r="M9" s="14">
        <f>M5-M6-M7-M8-0-0-0+0</f>
        <v/>
      </c>
      <c r="N9" s="14">
        <f>N5-N6-N7-N8-0-0-0+0</f>
        <v/>
      </c>
      <c r="O9" s="14">
        <f>SUM(C9:N9)</f>
        <v/>
      </c>
    </row>
    <row r="10">
      <c r="A10" s="5" t="inlineStr">
        <is>
          <t>Less: GST (output tax)</t>
        </is>
      </c>
      <c r="B10" s="2" t="inlineStr">
        <is>
          <t>Sum of channel tabs; do not type here.</t>
        </is>
      </c>
      <c r="C10" s="13">
        <f>'Website'!C9+'Quick Commerce'!C10</f>
        <v/>
      </c>
      <c r="D10" s="13">
        <f>'Website'!D9+'Quick Commerce'!D10</f>
        <v/>
      </c>
      <c r="E10" s="13">
        <f>'Website'!E9+'Quick Commerce'!E10</f>
        <v/>
      </c>
      <c r="F10" s="13">
        <f>'Website'!F9+'Quick Commerce'!F10</f>
        <v/>
      </c>
      <c r="G10" s="13">
        <f>'Website'!G9+'Quick Commerce'!G10</f>
        <v/>
      </c>
      <c r="H10" s="13">
        <f>'Website'!H9+'Quick Commerce'!H10</f>
        <v/>
      </c>
      <c r="I10" s="13">
        <f>'Website'!I9+'Quick Commerce'!I10</f>
        <v/>
      </c>
      <c r="J10" s="13">
        <f>'Website'!J9+'Quick Commerce'!J10</f>
        <v/>
      </c>
      <c r="K10" s="13">
        <f>'Website'!K9+'Quick Commerce'!K10</f>
        <v/>
      </c>
      <c r="L10" s="13">
        <f>'Website'!L9+'Quick Commerce'!L10</f>
        <v/>
      </c>
      <c r="M10" s="13">
        <f>'Website'!M9+'Quick Commerce'!M10</f>
        <v/>
      </c>
      <c r="N10" s="13">
        <f>'Website'!N9+'Quick Commerce'!N10</f>
        <v/>
      </c>
      <c r="O10" s="14">
        <f>SUM(C10:N10)</f>
        <v/>
      </c>
    </row>
    <row r="11">
      <c r="A11" s="15" t="inlineStr">
        <is>
          <t>NET SALES (post GST)</t>
        </is>
      </c>
      <c r="B11" s="16" t="inlineStr">
        <is>
          <t>Formula; do not type here.</t>
        </is>
      </c>
      <c r="C11" s="17">
        <f>C9-C10</f>
        <v/>
      </c>
      <c r="D11" s="17">
        <f>D9-D10</f>
        <v/>
      </c>
      <c r="E11" s="17">
        <f>E9-E10</f>
        <v/>
      </c>
      <c r="F11" s="17">
        <f>F9-F10</f>
        <v/>
      </c>
      <c r="G11" s="17">
        <f>G9-G10</f>
        <v/>
      </c>
      <c r="H11" s="17">
        <f>H9-H10</f>
        <v/>
      </c>
      <c r="I11" s="17">
        <f>I9-I10</f>
        <v/>
      </c>
      <c r="J11" s="17">
        <f>J9-J10</f>
        <v/>
      </c>
      <c r="K11" s="17">
        <f>K9-K10</f>
        <v/>
      </c>
      <c r="L11" s="17">
        <f>L9-L10</f>
        <v/>
      </c>
      <c r="M11" s="17">
        <f>M9-M10</f>
        <v/>
      </c>
      <c r="N11" s="17">
        <f>N9-N10</f>
        <v/>
      </c>
      <c r="O11" s="17">
        <f>SUM(C11:N11)</f>
        <v/>
      </c>
    </row>
    <row r="12">
      <c r="A12" s="5" t="inlineStr">
        <is>
          <t>Consumer promotions funded by brand (deduction)</t>
        </is>
      </c>
      <c r="B12" s="2" t="inlineStr">
        <is>
          <t>Sum of channel tabs; do not type here.</t>
        </is>
      </c>
      <c r="C12" s="13">
        <f>'Quick Commerce'!C12</f>
        <v/>
      </c>
      <c r="D12" s="13">
        <f>'Quick Commerce'!D12</f>
        <v/>
      </c>
      <c r="E12" s="13">
        <f>'Quick Commerce'!E12</f>
        <v/>
      </c>
      <c r="F12" s="13">
        <f>'Quick Commerce'!F12</f>
        <v/>
      </c>
      <c r="G12" s="13">
        <f>'Quick Commerce'!G12</f>
        <v/>
      </c>
      <c r="H12" s="13">
        <f>'Quick Commerce'!H12</f>
        <v/>
      </c>
      <c r="I12" s="13">
        <f>'Quick Commerce'!I12</f>
        <v/>
      </c>
      <c r="J12" s="13">
        <f>'Quick Commerce'!J12</f>
        <v/>
      </c>
      <c r="K12" s="13">
        <f>'Quick Commerce'!K12</f>
        <v/>
      </c>
      <c r="L12" s="13">
        <f>'Quick Commerce'!L12</f>
        <v/>
      </c>
      <c r="M12" s="13">
        <f>'Quick Commerce'!M12</f>
        <v/>
      </c>
      <c r="N12" s="13">
        <f>'Quick Commerce'!N12</f>
        <v/>
      </c>
      <c r="O12" s="14">
        <f>SUM(C12:N12)</f>
        <v/>
      </c>
    </row>
    <row r="13">
      <c r="A13" s="5" t="inlineStr">
        <is>
          <t>Net sales after brand-funded promotions</t>
        </is>
      </c>
      <c r="B13" s="2" t="inlineStr">
        <is>
          <t>Formula; do not type here.</t>
        </is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  <c r="G13" s="14">
        <f>G11-G12</f>
        <v/>
      </c>
      <c r="H13" s="14">
        <f>H11-H12</f>
        <v/>
      </c>
      <c r="I13" s="14">
        <f>I11-I12</f>
        <v/>
      </c>
      <c r="J13" s="14">
        <f>J11-J12</f>
        <v/>
      </c>
      <c r="K13" s="14">
        <f>K11-K12</f>
        <v/>
      </c>
      <c r="L13" s="14">
        <f>L11-L12</f>
        <v/>
      </c>
      <c r="M13" s="14">
        <f>M11-M12</f>
        <v/>
      </c>
      <c r="N13" s="14">
        <f>N11-N12</f>
        <v/>
      </c>
      <c r="O13" s="14">
        <f>SUM(C13:N13)</f>
        <v/>
      </c>
    </row>
    <row r="15">
      <c r="A15" s="3" t="inlineStr">
        <is>
          <t>COST OF GOODS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5" t="inlineStr">
        <is>
          <t>Cost of goods sold (product + conversion + primary packaging)</t>
        </is>
      </c>
      <c r="B16" s="2" t="inlineStr">
        <is>
          <t>Sum of channel tabs; do not type here.</t>
        </is>
      </c>
      <c r="C16" s="13">
        <f>'Website'!C13+'Quick Commerce'!C16</f>
        <v/>
      </c>
      <c r="D16" s="13">
        <f>'Website'!D13+'Quick Commerce'!D16</f>
        <v/>
      </c>
      <c r="E16" s="13">
        <f>'Website'!E13+'Quick Commerce'!E16</f>
        <v/>
      </c>
      <c r="F16" s="13">
        <f>'Website'!F13+'Quick Commerce'!F16</f>
        <v/>
      </c>
      <c r="G16" s="13">
        <f>'Website'!G13+'Quick Commerce'!G16</f>
        <v/>
      </c>
      <c r="H16" s="13">
        <f>'Website'!H13+'Quick Commerce'!H16</f>
        <v/>
      </c>
      <c r="I16" s="13">
        <f>'Website'!I13+'Quick Commerce'!I16</f>
        <v/>
      </c>
      <c r="J16" s="13">
        <f>'Website'!J13+'Quick Commerce'!J16</f>
        <v/>
      </c>
      <c r="K16" s="13">
        <f>'Website'!K13+'Quick Commerce'!K16</f>
        <v/>
      </c>
      <c r="L16" s="13">
        <f>'Website'!L13+'Quick Commerce'!L16</f>
        <v/>
      </c>
      <c r="M16" s="13">
        <f>'Website'!M13+'Quick Commerce'!M16</f>
        <v/>
      </c>
      <c r="N16" s="13">
        <f>'Website'!N13+'Quick Commerce'!N16</f>
        <v/>
      </c>
      <c r="O16" s="14">
        <f>SUM(C16:N16)</f>
        <v/>
      </c>
    </row>
    <row r="17">
      <c r="A17" s="15" t="inlineStr">
        <is>
          <t>GROSS MARGIN</t>
        </is>
      </c>
      <c r="B17" s="16" t="inlineStr">
        <is>
          <t>Formula; do not type here.</t>
        </is>
      </c>
      <c r="C17" s="17">
        <f>C13-C16</f>
        <v/>
      </c>
      <c r="D17" s="17">
        <f>D13-D16</f>
        <v/>
      </c>
      <c r="E17" s="17">
        <f>E13-E16</f>
        <v/>
      </c>
      <c r="F17" s="17">
        <f>F13-F16</f>
        <v/>
      </c>
      <c r="G17" s="17">
        <f>G13-G16</f>
        <v/>
      </c>
      <c r="H17" s="17">
        <f>H13-H16</f>
        <v/>
      </c>
      <c r="I17" s="17">
        <f>I13-I16</f>
        <v/>
      </c>
      <c r="J17" s="17">
        <f>J13-J16</f>
        <v/>
      </c>
      <c r="K17" s="17">
        <f>K13-K16</f>
        <v/>
      </c>
      <c r="L17" s="17">
        <f>L13-L16</f>
        <v/>
      </c>
      <c r="M17" s="17">
        <f>M13-M16</f>
        <v/>
      </c>
      <c r="N17" s="17">
        <f>N13-N16</f>
        <v/>
      </c>
      <c r="O17" s="17">
        <f>SUM(C17:N17)</f>
        <v/>
      </c>
    </row>
    <row r="18">
      <c r="A18" s="5" t="inlineStr">
        <is>
          <t>Gross margin %</t>
        </is>
      </c>
      <c r="B18" s="2" t="inlineStr">
        <is>
          <t>Ratio; do not type here.</t>
        </is>
      </c>
      <c r="C18" s="18">
        <f>IF(C11=0,"",C17/C11)</f>
        <v/>
      </c>
      <c r="D18" s="18">
        <f>IF(D11=0,"",D17/D11)</f>
        <v/>
      </c>
      <c r="E18" s="18">
        <f>IF(E11=0,"",E17/E11)</f>
        <v/>
      </c>
      <c r="F18" s="18">
        <f>IF(F11=0,"",F17/F11)</f>
        <v/>
      </c>
      <c r="G18" s="18">
        <f>IF(G11=0,"",G17/G11)</f>
        <v/>
      </c>
      <c r="H18" s="18">
        <f>IF(H11=0,"",H17/H11)</f>
        <v/>
      </c>
      <c r="I18" s="18">
        <f>IF(I11=0,"",I17/I11)</f>
        <v/>
      </c>
      <c r="J18" s="18">
        <f>IF(J11=0,"",J17/J11)</f>
        <v/>
      </c>
      <c r="K18" s="18">
        <f>IF(K11=0,"",K17/K11)</f>
        <v/>
      </c>
      <c r="L18" s="18">
        <f>IF(L11=0,"",L17/L11)</f>
        <v/>
      </c>
      <c r="M18" s="18">
        <f>IF(M11=0,"",M17/M11)</f>
        <v/>
      </c>
      <c r="N18" s="18">
        <f>IF(N11=0,"",N17/N11)</f>
        <v/>
      </c>
      <c r="O18" s="18">
        <f>IF(O11=0,"",O17/O11)</f>
        <v/>
      </c>
    </row>
    <row r="20">
      <c r="A20" s="3" t="inlineStr">
        <is>
          <t>FULFILMENT &amp; CHANNEL COSTS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5" t="inlineStr">
        <is>
          <t>Logistics: forward, reverse, RTO &amp; COD charges, secondary packaging</t>
        </is>
      </c>
      <c r="B21" s="2" t="inlineStr">
        <is>
          <t>Sum of channel tabs; do not type here.</t>
        </is>
      </c>
      <c r="C21" s="13">
        <f>'Website'!C18+'Quick Commerce'!C21</f>
        <v/>
      </c>
      <c r="D21" s="13">
        <f>'Website'!D18+'Quick Commerce'!D21</f>
        <v/>
      </c>
      <c r="E21" s="13">
        <f>'Website'!E18+'Quick Commerce'!E21</f>
        <v/>
      </c>
      <c r="F21" s="13">
        <f>'Website'!F18+'Quick Commerce'!F21</f>
        <v/>
      </c>
      <c r="G21" s="13">
        <f>'Website'!G18+'Quick Commerce'!G21</f>
        <v/>
      </c>
      <c r="H21" s="13">
        <f>'Website'!H18+'Quick Commerce'!H21</f>
        <v/>
      </c>
      <c r="I21" s="13">
        <f>'Website'!I18+'Quick Commerce'!I21</f>
        <v/>
      </c>
      <c r="J21" s="13">
        <f>'Website'!J18+'Quick Commerce'!J21</f>
        <v/>
      </c>
      <c r="K21" s="13">
        <f>'Website'!K18+'Quick Commerce'!K21</f>
        <v/>
      </c>
      <c r="L21" s="13">
        <f>'Website'!L18+'Quick Commerce'!L21</f>
        <v/>
      </c>
      <c r="M21" s="13">
        <f>'Website'!M18+'Quick Commerce'!M21</f>
        <v/>
      </c>
      <c r="N21" s="13">
        <f>'Website'!N18+'Quick Commerce'!N21</f>
        <v/>
      </c>
      <c r="O21" s="14">
        <f>SUM(C21:N21)</f>
        <v/>
      </c>
    </row>
    <row r="22">
      <c r="A22" s="5" t="inlineStr">
        <is>
          <t>Less: shipping &amp; COD fees collected from customers</t>
        </is>
      </c>
      <c r="B22" s="2" t="inlineStr">
        <is>
          <t>Sum of channel tabs; do not type here.</t>
        </is>
      </c>
      <c r="C22" s="13">
        <f>'Website'!C19</f>
        <v/>
      </c>
      <c r="D22" s="13">
        <f>'Website'!D19</f>
        <v/>
      </c>
      <c r="E22" s="13">
        <f>'Website'!E19</f>
        <v/>
      </c>
      <c r="F22" s="13">
        <f>'Website'!F19</f>
        <v/>
      </c>
      <c r="G22" s="13">
        <f>'Website'!G19</f>
        <v/>
      </c>
      <c r="H22" s="13">
        <f>'Website'!H19</f>
        <v/>
      </c>
      <c r="I22" s="13">
        <f>'Website'!I19</f>
        <v/>
      </c>
      <c r="J22" s="13">
        <f>'Website'!J19</f>
        <v/>
      </c>
      <c r="K22" s="13">
        <f>'Website'!K19</f>
        <v/>
      </c>
      <c r="L22" s="13">
        <f>'Website'!L19</f>
        <v/>
      </c>
      <c r="M22" s="13">
        <f>'Website'!M19</f>
        <v/>
      </c>
      <c r="N22" s="13">
        <f>'Website'!N19</f>
        <v/>
      </c>
      <c r="O22" s="14">
        <f>SUM(C22:N22)</f>
        <v/>
      </c>
    </row>
    <row r="23">
      <c r="A23" s="5" t="inlineStr">
        <is>
          <t>Warehousing &amp; operations (rent, staff, packing labour)</t>
        </is>
      </c>
      <c r="B23" s="2" t="inlineStr">
        <is>
          <t>Sum of channel tabs; do not type here.</t>
        </is>
      </c>
      <c r="C23" s="13">
        <f>'Website'!C20+'Quick Commerce'!C22</f>
        <v/>
      </c>
      <c r="D23" s="13">
        <f>'Website'!D20+'Quick Commerce'!D22</f>
        <v/>
      </c>
      <c r="E23" s="13">
        <f>'Website'!E20+'Quick Commerce'!E22</f>
        <v/>
      </c>
      <c r="F23" s="13">
        <f>'Website'!F20+'Quick Commerce'!F22</f>
        <v/>
      </c>
      <c r="G23" s="13">
        <f>'Website'!G20+'Quick Commerce'!G22</f>
        <v/>
      </c>
      <c r="H23" s="13">
        <f>'Website'!H20+'Quick Commerce'!H22</f>
        <v/>
      </c>
      <c r="I23" s="13">
        <f>'Website'!I20+'Quick Commerce'!I22</f>
        <v/>
      </c>
      <c r="J23" s="13">
        <f>'Website'!J20+'Quick Commerce'!J22</f>
        <v/>
      </c>
      <c r="K23" s="13">
        <f>'Website'!K20+'Quick Commerce'!K22</f>
        <v/>
      </c>
      <c r="L23" s="13">
        <f>'Website'!L20+'Quick Commerce'!L22</f>
        <v/>
      </c>
      <c r="M23" s="13">
        <f>'Website'!M20+'Quick Commerce'!M22</f>
        <v/>
      </c>
      <c r="N23" s="13">
        <f>'Website'!N20+'Quick Commerce'!N22</f>
        <v/>
      </c>
      <c r="O23" s="14">
        <f>SUM(C23:N23)</f>
        <v/>
      </c>
    </row>
    <row r="24">
      <c r="A24" s="5" t="inlineStr">
        <is>
          <t>Payment gateway charges</t>
        </is>
      </c>
      <c r="B24" s="2" t="inlineStr">
        <is>
          <t>Sum of channel tabs; do not type here.</t>
        </is>
      </c>
      <c r="C24" s="13">
        <f>'Website'!C21</f>
        <v/>
      </c>
      <c r="D24" s="13">
        <f>'Website'!D21</f>
        <v/>
      </c>
      <c r="E24" s="13">
        <f>'Website'!E21</f>
        <v/>
      </c>
      <c r="F24" s="13">
        <f>'Website'!F21</f>
        <v/>
      </c>
      <c r="G24" s="13">
        <f>'Website'!G21</f>
        <v/>
      </c>
      <c r="H24" s="13">
        <f>'Website'!H21</f>
        <v/>
      </c>
      <c r="I24" s="13">
        <f>'Website'!I21</f>
        <v/>
      </c>
      <c r="J24" s="13">
        <f>'Website'!J21</f>
        <v/>
      </c>
      <c r="K24" s="13">
        <f>'Website'!K21</f>
        <v/>
      </c>
      <c r="L24" s="13">
        <f>'Website'!L21</f>
        <v/>
      </c>
      <c r="M24" s="13">
        <f>'Website'!M21</f>
        <v/>
      </c>
      <c r="N24" s="13">
        <f>'Website'!N21</f>
        <v/>
      </c>
      <c r="O24" s="14">
        <f>SUM(C24:N24)</f>
        <v/>
      </c>
    </row>
    <row r="25">
      <c r="A25" s="15" t="inlineStr">
        <is>
          <t>CONTRIBUTION MARGIN 1 (CM1)</t>
        </is>
      </c>
      <c r="B25" s="16" t="inlineStr">
        <is>
          <t>Formula; do not type here.</t>
        </is>
      </c>
      <c r="C25" s="17">
        <f>C17-C21+C22-C23-C24-0-0</f>
        <v/>
      </c>
      <c r="D25" s="17">
        <f>D17-D21+D22-D23-D24-0-0</f>
        <v/>
      </c>
      <c r="E25" s="17">
        <f>E17-E21+E22-E23-E24-0-0</f>
        <v/>
      </c>
      <c r="F25" s="17">
        <f>F17-F21+F22-F23-F24-0-0</f>
        <v/>
      </c>
      <c r="G25" s="17">
        <f>G17-G21+G22-G23-G24-0-0</f>
        <v/>
      </c>
      <c r="H25" s="17">
        <f>H17-H21+H22-H23-H24-0-0</f>
        <v/>
      </c>
      <c r="I25" s="17">
        <f>I17-I21+I22-I23-I24-0-0</f>
        <v/>
      </c>
      <c r="J25" s="17">
        <f>J17-J21+J22-J23-J24-0-0</f>
        <v/>
      </c>
      <c r="K25" s="17">
        <f>K17-K21+K22-K23-K24-0-0</f>
        <v/>
      </c>
      <c r="L25" s="17">
        <f>L17-L21+L22-L23-L24-0-0</f>
        <v/>
      </c>
      <c r="M25" s="17">
        <f>M17-M21+M22-M23-M24-0-0</f>
        <v/>
      </c>
      <c r="N25" s="17">
        <f>N17-N21+N22-N23-N24-0-0</f>
        <v/>
      </c>
      <c r="O25" s="17">
        <f>SUM(C25:N25)</f>
        <v/>
      </c>
    </row>
    <row r="26">
      <c r="A26" s="5" t="inlineStr">
        <is>
          <t>CM1 %</t>
        </is>
      </c>
      <c r="B26" s="2" t="inlineStr">
        <is>
          <t>Ratio; do not type here.</t>
        </is>
      </c>
      <c r="C26" s="18">
        <f>IF(C11=0,"",C25/C11)</f>
        <v/>
      </c>
      <c r="D26" s="18">
        <f>IF(D11=0,"",D25/D11)</f>
        <v/>
      </c>
      <c r="E26" s="18">
        <f>IF(E11=0,"",E25/E11)</f>
        <v/>
      </c>
      <c r="F26" s="18">
        <f>IF(F11=0,"",F25/F11)</f>
        <v/>
      </c>
      <c r="G26" s="18">
        <f>IF(G11=0,"",G25/G11)</f>
        <v/>
      </c>
      <c r="H26" s="18">
        <f>IF(H11=0,"",H25/H11)</f>
        <v/>
      </c>
      <c r="I26" s="18">
        <f>IF(I11=0,"",I25/I11)</f>
        <v/>
      </c>
      <c r="J26" s="18">
        <f>IF(J11=0,"",J25/J11)</f>
        <v/>
      </c>
      <c r="K26" s="18">
        <f>IF(K11=0,"",K25/K11)</f>
        <v/>
      </c>
      <c r="L26" s="18">
        <f>IF(L11=0,"",L25/L11)</f>
        <v/>
      </c>
      <c r="M26" s="18">
        <f>IF(M11=0,"",M25/M11)</f>
        <v/>
      </c>
      <c r="N26" s="18">
        <f>IF(N11=0,"",N25/N11)</f>
        <v/>
      </c>
      <c r="O26" s="18">
        <f>IF(O11=0,"",O25/O11)</f>
        <v/>
      </c>
    </row>
    <row r="28">
      <c r="A28" s="3" t="inlineStr">
        <is>
          <t>MARKETING &amp; SELLING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>
      <c r="A29" s="5" t="inlineStr">
        <is>
          <t>Performance &amp; channel marketing (all channels)</t>
        </is>
      </c>
      <c r="B29" s="2" t="inlineStr">
        <is>
          <t>Sum of channel tabs; do not type here.</t>
        </is>
      </c>
      <c r="C29" s="13">
        <f>'Website'!C26+'Quick Commerce'!C27</f>
        <v/>
      </c>
      <c r="D29" s="13">
        <f>'Website'!D26+'Quick Commerce'!D27</f>
        <v/>
      </c>
      <c r="E29" s="13">
        <f>'Website'!E26+'Quick Commerce'!E27</f>
        <v/>
      </c>
      <c r="F29" s="13">
        <f>'Website'!F26+'Quick Commerce'!F27</f>
        <v/>
      </c>
      <c r="G29" s="13">
        <f>'Website'!G26+'Quick Commerce'!G27</f>
        <v/>
      </c>
      <c r="H29" s="13">
        <f>'Website'!H26+'Quick Commerce'!H27</f>
        <v/>
      </c>
      <c r="I29" s="13">
        <f>'Website'!I26+'Quick Commerce'!I27</f>
        <v/>
      </c>
      <c r="J29" s="13">
        <f>'Website'!J26+'Quick Commerce'!J27</f>
        <v/>
      </c>
      <c r="K29" s="13">
        <f>'Website'!K26+'Quick Commerce'!K27</f>
        <v/>
      </c>
      <c r="L29" s="13">
        <f>'Website'!L26+'Quick Commerce'!L27</f>
        <v/>
      </c>
      <c r="M29" s="13">
        <f>'Website'!M26+'Quick Commerce'!M27</f>
        <v/>
      </c>
      <c r="N29" s="13">
        <f>'Website'!N26+'Quick Commerce'!N27</f>
        <v/>
      </c>
      <c r="O29" s="14">
        <f>SUM(C29:N29)</f>
        <v/>
      </c>
    </row>
    <row r="30">
      <c r="A30" s="15" t="inlineStr">
        <is>
          <t>CONTRIBUTION MARGIN 2 (CM2)</t>
        </is>
      </c>
      <c r="B30" s="16" t="inlineStr">
        <is>
          <t>Formula; do not type here.</t>
        </is>
      </c>
      <c r="C30" s="17">
        <f>C25-C29-0-0-0</f>
        <v/>
      </c>
      <c r="D30" s="17">
        <f>D25-D29-0-0-0</f>
        <v/>
      </c>
      <c r="E30" s="17">
        <f>E25-E29-0-0-0</f>
        <v/>
      </c>
      <c r="F30" s="17">
        <f>F25-F29-0-0-0</f>
        <v/>
      </c>
      <c r="G30" s="17">
        <f>G25-G29-0-0-0</f>
        <v/>
      </c>
      <c r="H30" s="17">
        <f>H25-H29-0-0-0</f>
        <v/>
      </c>
      <c r="I30" s="17">
        <f>I25-I29-0-0-0</f>
        <v/>
      </c>
      <c r="J30" s="17">
        <f>J25-J29-0-0-0</f>
        <v/>
      </c>
      <c r="K30" s="17">
        <f>K25-K29-0-0-0</f>
        <v/>
      </c>
      <c r="L30" s="17">
        <f>L25-L29-0-0-0</f>
        <v/>
      </c>
      <c r="M30" s="17">
        <f>M25-M29-0-0-0</f>
        <v/>
      </c>
      <c r="N30" s="17">
        <f>N25-N29-0-0-0</f>
        <v/>
      </c>
      <c r="O30" s="17">
        <f>SUM(C30:N30)</f>
        <v/>
      </c>
    </row>
    <row r="31">
      <c r="A31" s="5" t="inlineStr">
        <is>
          <t>CM2 %</t>
        </is>
      </c>
      <c r="B31" s="2" t="inlineStr">
        <is>
          <t>Ratio; do not type here.</t>
        </is>
      </c>
      <c r="C31" s="18">
        <f>IF(C11=0,"",C30/C11)</f>
        <v/>
      </c>
      <c r="D31" s="18">
        <f>IF(D11=0,"",D30/D11)</f>
        <v/>
      </c>
      <c r="E31" s="18">
        <f>IF(E11=0,"",E30/E11)</f>
        <v/>
      </c>
      <c r="F31" s="18">
        <f>IF(F11=0,"",F30/F11)</f>
        <v/>
      </c>
      <c r="G31" s="18">
        <f>IF(G11=0,"",G30/G11)</f>
        <v/>
      </c>
      <c r="H31" s="18">
        <f>IF(H11=0,"",H30/H11)</f>
        <v/>
      </c>
      <c r="I31" s="18">
        <f>IF(I11=0,"",I30/I11)</f>
        <v/>
      </c>
      <c r="J31" s="18">
        <f>IF(J11=0,"",J30/J11)</f>
        <v/>
      </c>
      <c r="K31" s="18">
        <f>IF(K11=0,"",K30/K11)</f>
        <v/>
      </c>
      <c r="L31" s="18">
        <f>IF(L11=0,"",L30/L11)</f>
        <v/>
      </c>
      <c r="M31" s="18">
        <f>IF(M11=0,"",M30/M11)</f>
        <v/>
      </c>
      <c r="N31" s="18">
        <f>IF(N11=0,"",N30/N11)</f>
        <v/>
      </c>
      <c r="O31" s="18">
        <f>IF(O11=0,"",O30/O11)</f>
        <v/>
      </c>
    </row>
    <row r="32">
      <c r="A32" s="5" t="inlineStr">
        <is>
          <t>Brand marketing &amp; content (campaigns, shoots, influencer retainers, PR, agency)</t>
        </is>
      </c>
      <c r="B32" s="9" t="inlineStr">
        <is>
          <t>Agency retainers, photoshoots, influencer fees not tied to a sale, PR, brand campaigns. Excl. GST.</t>
        </is>
      </c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4">
        <f>SUM(C32:N32)</f>
        <v/>
      </c>
    </row>
    <row r="33">
      <c r="A33" s="15" t="inlineStr">
        <is>
          <t>CONTRIBUTION MARGIN 3 (CM3)</t>
        </is>
      </c>
      <c r="B33" s="16" t="inlineStr">
        <is>
          <t>Formula; do not type here.</t>
        </is>
      </c>
      <c r="C33" s="17">
        <f>C30-C32</f>
        <v/>
      </c>
      <c r="D33" s="17">
        <f>D30-D32</f>
        <v/>
      </c>
      <c r="E33" s="17">
        <f>E30-E32</f>
        <v/>
      </c>
      <c r="F33" s="17">
        <f>F30-F32</f>
        <v/>
      </c>
      <c r="G33" s="17">
        <f>G30-G32</f>
        <v/>
      </c>
      <c r="H33" s="17">
        <f>H30-H32</f>
        <v/>
      </c>
      <c r="I33" s="17">
        <f>I30-I32</f>
        <v/>
      </c>
      <c r="J33" s="17">
        <f>J30-J32</f>
        <v/>
      </c>
      <c r="K33" s="17">
        <f>K30-K32</f>
        <v/>
      </c>
      <c r="L33" s="17">
        <f>L30-L32</f>
        <v/>
      </c>
      <c r="M33" s="17">
        <f>M30-M32</f>
        <v/>
      </c>
      <c r="N33" s="17">
        <f>N30-N32</f>
        <v/>
      </c>
      <c r="O33" s="17">
        <f>SUM(C33:N33)</f>
        <v/>
      </c>
    </row>
    <row r="34">
      <c r="A34" s="5" t="inlineStr">
        <is>
          <t>CM3 %</t>
        </is>
      </c>
      <c r="B34" s="2" t="inlineStr">
        <is>
          <t>Ratio; do not type here.</t>
        </is>
      </c>
      <c r="C34" s="18">
        <f>IF(C11=0,"",C33/C11)</f>
        <v/>
      </c>
      <c r="D34" s="18">
        <f>IF(D11=0,"",D33/D11)</f>
        <v/>
      </c>
      <c r="E34" s="18">
        <f>IF(E11=0,"",E33/E11)</f>
        <v/>
      </c>
      <c r="F34" s="18">
        <f>IF(F11=0,"",F33/F11)</f>
        <v/>
      </c>
      <c r="G34" s="18">
        <f>IF(G11=0,"",G33/G11)</f>
        <v/>
      </c>
      <c r="H34" s="18">
        <f>IF(H11=0,"",H33/H11)</f>
        <v/>
      </c>
      <c r="I34" s="18">
        <f>IF(I11=0,"",I33/I11)</f>
        <v/>
      </c>
      <c r="J34" s="18">
        <f>IF(J11=0,"",J33/J11)</f>
        <v/>
      </c>
      <c r="K34" s="18">
        <f>IF(K11=0,"",K33/K11)</f>
        <v/>
      </c>
      <c r="L34" s="18">
        <f>IF(L11=0,"",L33/L11)</f>
        <v/>
      </c>
      <c r="M34" s="18">
        <f>IF(M11=0,"",M33/M11)</f>
        <v/>
      </c>
      <c r="N34" s="18">
        <f>IF(N11=0,"",N33/N11)</f>
        <v/>
      </c>
      <c r="O34" s="18">
        <f>IF(O11=0,"",O33/O11)</f>
        <v/>
      </c>
    </row>
    <row r="36">
      <c r="A36" s="3" t="inlineStr">
        <is>
          <t>FIXED COSTS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>
      <c r="A37" s="5" t="inlineStr">
        <is>
          <t>People: salaries, contractors, founder pay, employee benefits</t>
        </is>
      </c>
      <c r="B37" s="9" t="inlineStr">
        <is>
          <t>Payroll for the month incl. PF/ESI and contractors. Exclude warehouse staff (Logistics) and store staff if entered in the offline channel.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4">
        <f>SUM(C37:N37)</f>
        <v/>
      </c>
    </row>
    <row r="38">
      <c r="A38" s="5" t="inlineStr">
        <is>
          <t>Technology: Shopify, apps, SaaS, domains</t>
        </is>
      </c>
      <c r="B38" s="9" t="inlineStr">
        <is>
          <t>Shopify bill, app subscriptions, Zoho/Notion/Slack, hosting. Excl. GST.</t>
        </is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4">
        <f>SUM(C38:N38)</f>
        <v/>
      </c>
    </row>
    <row r="39">
      <c r="A39" s="5" t="inlineStr">
        <is>
          <t>Office rent, utilities, travel &amp; admin</t>
        </is>
      </c>
      <c r="B39" s="9" t="inlineStr">
        <is>
          <t>Office rent, electricity, internet, travel, meals, insurance, bank charges.</t>
        </is>
      </c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4">
        <f>SUM(C39:N39)</f>
        <v/>
      </c>
    </row>
    <row r="40">
      <c r="A40" s="5" t="inlineStr">
        <is>
          <t>Legal, accounting &amp; professional fees</t>
        </is>
      </c>
      <c r="B40" s="9" t="inlineStr">
        <is>
          <t>CA, CS, lawyers, consultants.</t>
        </is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4">
        <f>SUM(C40:N40)</f>
        <v/>
      </c>
    </row>
    <row r="41">
      <c r="A41" s="5" t="inlineStr">
        <is>
          <t>Sampling &amp; free product (not campaign-led)</t>
        </is>
      </c>
      <c r="B41" s="9" t="inlineStr">
        <is>
          <t>Cost of units given away outside a brand campaign: PR seeding, gifting, trade samples.</t>
        </is>
      </c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4">
        <f>SUM(C41:N41)</f>
        <v/>
      </c>
    </row>
    <row r="42">
      <c r="A42" s="5" t="inlineStr">
        <is>
          <t>Write-offs: expired, damaged, liquidated below cost</t>
        </is>
      </c>
      <c r="B42" s="9" t="inlineStr">
        <is>
          <t>Stock written off or sold below cost this month, at cost.</t>
        </is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4">
        <f>SUM(C42:N42)</f>
        <v/>
      </c>
    </row>
    <row r="43">
      <c r="A43" s="15" t="inlineStr">
        <is>
          <t>OPERATING EBITDA</t>
        </is>
      </c>
      <c r="B43" s="16" t="inlineStr">
        <is>
          <t>Formula; do not type here.</t>
        </is>
      </c>
      <c r="C43" s="17">
        <f>C33-C37-C38-C39-C40-C41-C42</f>
        <v/>
      </c>
      <c r="D43" s="17">
        <f>D33-D37-D38-D39-D40-D41-D42</f>
        <v/>
      </c>
      <c r="E43" s="17">
        <f>E33-E37-E38-E39-E40-E41-E42</f>
        <v/>
      </c>
      <c r="F43" s="17">
        <f>F33-F37-F38-F39-F40-F41-F42</f>
        <v/>
      </c>
      <c r="G43" s="17">
        <f>G33-G37-G38-G39-G40-G41-G42</f>
        <v/>
      </c>
      <c r="H43" s="17">
        <f>H33-H37-H38-H39-H40-H41-H42</f>
        <v/>
      </c>
      <c r="I43" s="17">
        <f>I33-I37-I38-I39-I40-I41-I42</f>
        <v/>
      </c>
      <c r="J43" s="17">
        <f>J33-J37-J38-J39-J40-J41-J42</f>
        <v/>
      </c>
      <c r="K43" s="17">
        <f>K33-K37-K38-K39-K40-K41-K42</f>
        <v/>
      </c>
      <c r="L43" s="17">
        <f>L33-L37-L38-L39-L40-L41-L42</f>
        <v/>
      </c>
      <c r="M43" s="17">
        <f>M33-M37-M38-M39-M40-M41-M42</f>
        <v/>
      </c>
      <c r="N43" s="17">
        <f>N33-N37-N38-N39-N40-N41-N42</f>
        <v/>
      </c>
      <c r="O43" s="17">
        <f>SUM(C43:N43)</f>
        <v/>
      </c>
    </row>
    <row r="44">
      <c r="A44" s="5" t="inlineStr">
        <is>
          <t>Operating EBITDA %</t>
        </is>
      </c>
      <c r="B44" s="2" t="inlineStr">
        <is>
          <t>Ratio; do not type here.</t>
        </is>
      </c>
      <c r="C44" s="18">
        <f>IF(C11=0,"",C43/C11)</f>
        <v/>
      </c>
      <c r="D44" s="18">
        <f>IF(D11=0,"",D43/D11)</f>
        <v/>
      </c>
      <c r="E44" s="18">
        <f>IF(E11=0,"",E43/E11)</f>
        <v/>
      </c>
      <c r="F44" s="18">
        <f>IF(F11=0,"",F43/F11)</f>
        <v/>
      </c>
      <c r="G44" s="18">
        <f>IF(G11=0,"",G43/G11)</f>
        <v/>
      </c>
      <c r="H44" s="18">
        <f>IF(H11=0,"",H43/H11)</f>
        <v/>
      </c>
      <c r="I44" s="18">
        <f>IF(I11=0,"",I43/I11)</f>
        <v/>
      </c>
      <c r="J44" s="18">
        <f>IF(J11=0,"",J43/J11)</f>
        <v/>
      </c>
      <c r="K44" s="18">
        <f>IF(K11=0,"",K43/K11)</f>
        <v/>
      </c>
      <c r="L44" s="18">
        <f>IF(L11=0,"",L43/L11)</f>
        <v/>
      </c>
      <c r="M44" s="18">
        <f>IF(M11=0,"",M43/M11)</f>
        <v/>
      </c>
      <c r="N44" s="18">
        <f>IF(N11=0,"",N43/N11)</f>
        <v/>
      </c>
      <c r="O44" s="18">
        <f>IF(O11=0,"",O43/O11)</f>
        <v/>
      </c>
    </row>
    <row r="45">
      <c r="A45" s="5" t="inlineStr">
        <is>
          <t>One-time / exceptional costs</t>
        </is>
      </c>
      <c r="B45" s="9" t="inlineStr">
        <is>
          <t>Fund-raise costs, legal settlements, relocation. Genuinely non-recurring only.</t>
        </is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4">
        <f>SUM(C45:N45)</f>
        <v/>
      </c>
    </row>
    <row r="46">
      <c r="A46" s="15" t="inlineStr">
        <is>
          <t>REPORTED EBITDA</t>
        </is>
      </c>
      <c r="B46" s="16" t="inlineStr">
        <is>
          <t>Formula; do not type here.</t>
        </is>
      </c>
      <c r="C46" s="17">
        <f>C43-C45</f>
        <v/>
      </c>
      <c r="D46" s="17">
        <f>D43-D45</f>
        <v/>
      </c>
      <c r="E46" s="17">
        <f>E43-E45</f>
        <v/>
      </c>
      <c r="F46" s="17">
        <f>F43-F45</f>
        <v/>
      </c>
      <c r="G46" s="17">
        <f>G43-G45</f>
        <v/>
      </c>
      <c r="H46" s="17">
        <f>H43-H45</f>
        <v/>
      </c>
      <c r="I46" s="17">
        <f>I43-I45</f>
        <v/>
      </c>
      <c r="J46" s="17">
        <f>J43-J45</f>
        <v/>
      </c>
      <c r="K46" s="17">
        <f>K43-K45</f>
        <v/>
      </c>
      <c r="L46" s="17">
        <f>L43-L45</f>
        <v/>
      </c>
      <c r="M46" s="17">
        <f>M43-M45</f>
        <v/>
      </c>
      <c r="N46" s="17">
        <f>N43-N45</f>
        <v/>
      </c>
      <c r="O46" s="17">
        <f>SUM(C46:N46)</f>
        <v/>
      </c>
    </row>
    <row r="48">
      <c r="A48" s="3" t="inlineStr">
        <is>
          <t>BELOW EBITDA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</row>
    <row r="49">
      <c r="A49" s="5" t="inlineStr">
        <is>
          <t>Depreciation &amp; amortisation</t>
        </is>
      </c>
      <c r="B49" s="9" t="inlineStr">
        <is>
          <t>From your CA, or leave blank until year end.</t>
        </is>
      </c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4">
        <f>SUM(C49:N49)</f>
        <v/>
      </c>
    </row>
    <row r="50">
      <c r="A50" s="5" t="inlineStr">
        <is>
          <t>Interest &amp; finance charges (net of interest earned)</t>
        </is>
      </c>
      <c r="B50" s="9" t="inlineStr">
        <is>
          <t>Loan and credit-line interest paid, less FD interest earned.</t>
        </is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4">
        <f>SUM(C50:N50)</f>
        <v/>
      </c>
    </row>
    <row r="51">
      <c r="A51" s="15" t="inlineStr">
        <is>
          <t>PROFIT BEFORE TAX</t>
        </is>
      </c>
      <c r="B51" s="16" t="inlineStr">
        <is>
          <t>Formula; do not type here.</t>
        </is>
      </c>
      <c r="C51" s="17">
        <f>C46-C49-C50</f>
        <v/>
      </c>
      <c r="D51" s="17">
        <f>D46-D49-D50</f>
        <v/>
      </c>
      <c r="E51" s="17">
        <f>E46-E49-E50</f>
        <v/>
      </c>
      <c r="F51" s="17">
        <f>F46-F49-F50</f>
        <v/>
      </c>
      <c r="G51" s="17">
        <f>G46-G49-G50</f>
        <v/>
      </c>
      <c r="H51" s="17">
        <f>H46-H49-H50</f>
        <v/>
      </c>
      <c r="I51" s="17">
        <f>I46-I49-I50</f>
        <v/>
      </c>
      <c r="J51" s="17">
        <f>J46-J49-J50</f>
        <v/>
      </c>
      <c r="K51" s="17">
        <f>K46-K49-K50</f>
        <v/>
      </c>
      <c r="L51" s="17">
        <f>L46-L49-L50</f>
        <v/>
      </c>
      <c r="M51" s="17">
        <f>M46-M49-M50</f>
        <v/>
      </c>
      <c r="N51" s="17">
        <f>N46-N49-N50</f>
        <v/>
      </c>
      <c r="O51" s="17">
        <f>SUM(C51:N51)</f>
        <v/>
      </c>
    </row>
    <row r="53">
      <c r="A53" s="3" t="inlineStr">
        <is>
          <t>KEY RATIOS &amp; MIX</t>
        </is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</row>
    <row r="54">
      <c r="A54" s="5" t="inlineStr">
        <is>
          <t>Net sales growth month on month</t>
        </is>
      </c>
      <c r="B54" s="2" t="inlineStr">
        <is>
          <t>Ratio; do not type here.</t>
        </is>
      </c>
      <c r="C54" s="18" t="n"/>
      <c r="D54" s="18">
        <f>IF(C11=0,"",D11/C11-1)</f>
        <v/>
      </c>
      <c r="E54" s="18">
        <f>IF(D11=0,"",E11/D11-1)</f>
        <v/>
      </c>
      <c r="F54" s="18">
        <f>IF(E11=0,"",F11/E11-1)</f>
        <v/>
      </c>
      <c r="G54" s="18">
        <f>IF(F11=0,"",G11/F11-1)</f>
        <v/>
      </c>
      <c r="H54" s="18">
        <f>IF(G11=0,"",H11/G11-1)</f>
        <v/>
      </c>
      <c r="I54" s="18">
        <f>IF(H11=0,"",I11/H11-1)</f>
        <v/>
      </c>
      <c r="J54" s="18">
        <f>IF(I11=0,"",J11/I11-1)</f>
        <v/>
      </c>
      <c r="K54" s="18">
        <f>IF(J11=0,"",K11/J11-1)</f>
        <v/>
      </c>
      <c r="L54" s="18">
        <f>IF(K11=0,"",L11/K11-1)</f>
        <v/>
      </c>
      <c r="M54" s="18">
        <f>IF(L11=0,"",M11/L11-1)</f>
        <v/>
      </c>
      <c r="N54" s="18">
        <f>IF(M11=0,"",N11/M11-1)</f>
        <v/>
      </c>
      <c r="O54" s="18" t="n"/>
    </row>
    <row r="55">
      <c r="A55" s="5" t="inlineStr">
        <is>
          <t>Total marketing % of net sales</t>
        </is>
      </c>
      <c r="B55" s="2" t="inlineStr">
        <is>
          <t>Ratio; do not type here.</t>
        </is>
      </c>
      <c r="C55" s="18">
        <f>IF(C11=0,"",(C29+0+C32)/C11)</f>
        <v/>
      </c>
      <c r="D55" s="18">
        <f>IF(D11=0,"",(D29+0+D32)/D11)</f>
        <v/>
      </c>
      <c r="E55" s="18">
        <f>IF(E11=0,"",(E29+0+E32)/E11)</f>
        <v/>
      </c>
      <c r="F55" s="18">
        <f>IF(F11=0,"",(F29+0+F32)/F11)</f>
        <v/>
      </c>
      <c r="G55" s="18">
        <f>IF(G11=0,"",(G29+0+G32)/G11)</f>
        <v/>
      </c>
      <c r="H55" s="18">
        <f>IF(H11=0,"",(H29+0+H32)/H11)</f>
        <v/>
      </c>
      <c r="I55" s="18">
        <f>IF(I11=0,"",(I29+0+I32)/I11)</f>
        <v/>
      </c>
      <c r="J55" s="18">
        <f>IF(J11=0,"",(J29+0+J32)/J11)</f>
        <v/>
      </c>
      <c r="K55" s="18">
        <f>IF(K11=0,"",(K29+0+K32)/K11)</f>
        <v/>
      </c>
      <c r="L55" s="18">
        <f>IF(L11=0,"",(L29+0+L32)/L11)</f>
        <v/>
      </c>
      <c r="M55" s="18">
        <f>IF(M11=0,"",(M29+0+M32)/M11)</f>
        <v/>
      </c>
      <c r="N55" s="18">
        <f>IF(N11=0,"",(N29+0+N32)/N11)</f>
        <v/>
      </c>
      <c r="O55" s="18">
        <f>IF(O11=0,"",(O29+0+O32)/O11)</f>
        <v/>
      </c>
    </row>
    <row r="56">
      <c r="A56" s="5" t="inlineStr">
        <is>
          <t>Blended RoAS (net sales ÷ all marketing)</t>
        </is>
      </c>
      <c r="B56" s="2" t="inlineStr">
        <is>
          <t>Formula; do not type here.</t>
        </is>
      </c>
      <c r="C56" s="20">
        <f>IF((C29+0+C32)=0,"",C11/(C29+0+C32))</f>
        <v/>
      </c>
      <c r="D56" s="20">
        <f>IF((D29+0+D32)=0,"",D11/(D29+0+D32))</f>
        <v/>
      </c>
      <c r="E56" s="20">
        <f>IF((E29+0+E32)=0,"",E11/(E29+0+E32))</f>
        <v/>
      </c>
      <c r="F56" s="20">
        <f>IF((F29+0+F32)=0,"",F11/(F29+0+F32))</f>
        <v/>
      </c>
      <c r="G56" s="20">
        <f>IF((G29+0+G32)=0,"",G11/(G29+0+G32))</f>
        <v/>
      </c>
      <c r="H56" s="20">
        <f>IF((H29+0+H32)=0,"",H11/(H29+0+H32))</f>
        <v/>
      </c>
      <c r="I56" s="20">
        <f>IF((I29+0+I32)=0,"",I11/(I29+0+I32))</f>
        <v/>
      </c>
      <c r="J56" s="20">
        <f>IF((J29+0+J32)=0,"",J11/(J29+0+J32))</f>
        <v/>
      </c>
      <c r="K56" s="20">
        <f>IF((K29+0+K32)=0,"",K11/(K29+0+K32))</f>
        <v/>
      </c>
      <c r="L56" s="20">
        <f>IF((L29+0+L32)=0,"",L11/(L29+0+L32))</f>
        <v/>
      </c>
      <c r="M56" s="20">
        <f>IF((M29+0+M32)=0,"",M11/(M29+0+M32))</f>
        <v/>
      </c>
      <c r="N56" s="20">
        <f>IF((N29+0+N32)=0,"",N11/(N29+0+N32))</f>
        <v/>
      </c>
      <c r="O56" s="20">
        <f>IF((O29+0+O32)=0,"",O11/(O29+0+O32))</f>
        <v/>
      </c>
    </row>
    <row r="57">
      <c r="A57" s="5" t="inlineStr">
        <is>
          <t>People % of net sales</t>
        </is>
      </c>
      <c r="B57" s="2" t="inlineStr">
        <is>
          <t>Ratio; do not type here.</t>
        </is>
      </c>
      <c r="C57" s="18">
        <f>IF(C11=0,"",C37/C11)</f>
        <v/>
      </c>
      <c r="D57" s="18">
        <f>IF(D11=0,"",D37/D11)</f>
        <v/>
      </c>
      <c r="E57" s="18">
        <f>IF(E11=0,"",E37/E11)</f>
        <v/>
      </c>
      <c r="F57" s="18">
        <f>IF(F11=0,"",F37/F11)</f>
        <v/>
      </c>
      <c r="G57" s="18">
        <f>IF(G11=0,"",G37/G11)</f>
        <v/>
      </c>
      <c r="H57" s="18">
        <f>IF(H11=0,"",H37/H11)</f>
        <v/>
      </c>
      <c r="I57" s="18">
        <f>IF(I11=0,"",I37/I11)</f>
        <v/>
      </c>
      <c r="J57" s="18">
        <f>IF(J11=0,"",J37/J11)</f>
        <v/>
      </c>
      <c r="K57" s="18">
        <f>IF(K11=0,"",K37/K11)</f>
        <v/>
      </c>
      <c r="L57" s="18">
        <f>IF(L11=0,"",L37/L11)</f>
        <v/>
      </c>
      <c r="M57" s="18">
        <f>IF(M11=0,"",M37/M11)</f>
        <v/>
      </c>
      <c r="N57" s="18">
        <f>IF(N11=0,"",N37/N11)</f>
        <v/>
      </c>
      <c r="O57" s="18">
        <f>IF(O11=0,"",O37/O11)</f>
        <v/>
      </c>
    </row>
    <row r="58">
      <c r="A58" s="5" t="inlineStr">
        <is>
          <t>Fixed costs % of net sales</t>
        </is>
      </c>
      <c r="B58" s="2" t="inlineStr">
        <is>
          <t>Ratio; do not type here.</t>
        </is>
      </c>
      <c r="C58" s="18">
        <f>IF(C11=0,"",(C37+C38+C39+C40+C41+C42)/C11)</f>
        <v/>
      </c>
      <c r="D58" s="18">
        <f>IF(D11=0,"",(D37+D38+D39+D40+D41+D42)/D11)</f>
        <v/>
      </c>
      <c r="E58" s="18">
        <f>IF(E11=0,"",(E37+E38+E39+E40+E41+E42)/E11)</f>
        <v/>
      </c>
      <c r="F58" s="18">
        <f>IF(F11=0,"",(F37+F38+F39+F40+F41+F42)/F11)</f>
        <v/>
      </c>
      <c r="G58" s="18">
        <f>IF(G11=0,"",(G37+G38+G39+G40+G41+G42)/G11)</f>
        <v/>
      </c>
      <c r="H58" s="18">
        <f>IF(H11=0,"",(H37+H38+H39+H40+H41+H42)/H11)</f>
        <v/>
      </c>
      <c r="I58" s="18">
        <f>IF(I11=0,"",(I37+I38+I39+I40+I41+I42)/I11)</f>
        <v/>
      </c>
      <c r="J58" s="18">
        <f>IF(J11=0,"",(J37+J38+J39+J40+J41+J42)/J11)</f>
        <v/>
      </c>
      <c r="K58" s="18">
        <f>IF(K11=0,"",(K37+K38+K39+K40+K41+K42)/K11)</f>
        <v/>
      </c>
      <c r="L58" s="18">
        <f>IF(L11=0,"",(L37+L38+L39+L40+L41+L42)/L11)</f>
        <v/>
      </c>
      <c r="M58" s="18">
        <f>IF(M11=0,"",(M37+M38+M39+M40+M41+M42)/M11)</f>
        <v/>
      </c>
      <c r="N58" s="18">
        <f>IF(N11=0,"",(N37+N38+N39+N40+N41+N42)/N11)</f>
        <v/>
      </c>
      <c r="O58" s="18">
        <f>IF(O11=0,"",(O37+O38+O39+O40+O41+O42)/O11)</f>
        <v/>
      </c>
    </row>
    <row r="59">
      <c r="A59" s="5" t="inlineStr">
        <is>
          <t>Channel mix: Website % of net sales</t>
        </is>
      </c>
      <c r="B59" s="2" t="inlineStr">
        <is>
          <t>Ratio; do not type here.</t>
        </is>
      </c>
      <c r="C59" s="18">
        <f>IF(C11=0,"",'Website'!C10/C11)</f>
        <v/>
      </c>
      <c r="D59" s="18">
        <f>IF(D11=0,"",'Website'!D10/D11)</f>
        <v/>
      </c>
      <c r="E59" s="18">
        <f>IF(E11=0,"",'Website'!E10/E11)</f>
        <v/>
      </c>
      <c r="F59" s="18">
        <f>IF(F11=0,"",'Website'!F10/F11)</f>
        <v/>
      </c>
      <c r="G59" s="18">
        <f>IF(G11=0,"",'Website'!G10/G11)</f>
        <v/>
      </c>
      <c r="H59" s="18">
        <f>IF(H11=0,"",'Website'!H10/H11)</f>
        <v/>
      </c>
      <c r="I59" s="18">
        <f>IF(I11=0,"",'Website'!I10/I11)</f>
        <v/>
      </c>
      <c r="J59" s="18">
        <f>IF(J11=0,"",'Website'!J10/J11)</f>
        <v/>
      </c>
      <c r="K59" s="18">
        <f>IF(K11=0,"",'Website'!K10/K11)</f>
        <v/>
      </c>
      <c r="L59" s="18">
        <f>IF(L11=0,"",'Website'!L10/L11)</f>
        <v/>
      </c>
      <c r="M59" s="18">
        <f>IF(M11=0,"",'Website'!M10/M11)</f>
        <v/>
      </c>
      <c r="N59" s="18">
        <f>IF(N11=0,"",'Website'!N10/N11)</f>
        <v/>
      </c>
      <c r="O59" s="18">
        <f>IF(O11=0,"",'Website'!O10/O11)</f>
        <v/>
      </c>
    </row>
    <row r="60">
      <c r="A60" s="5" t="inlineStr">
        <is>
          <t>Channel mix: Quick Commerce % of net sales</t>
        </is>
      </c>
      <c r="B60" s="2" t="inlineStr">
        <is>
          <t>Ratio; do not type here.</t>
        </is>
      </c>
      <c r="C60" s="18">
        <f>IF(C11=0,"",'Quick Commerce'!C11/C11)</f>
        <v/>
      </c>
      <c r="D60" s="18">
        <f>IF(D11=0,"",'Quick Commerce'!D11/D11)</f>
        <v/>
      </c>
      <c r="E60" s="18">
        <f>IF(E11=0,"",'Quick Commerce'!E11/E11)</f>
        <v/>
      </c>
      <c r="F60" s="18">
        <f>IF(F11=0,"",'Quick Commerce'!F11/F11)</f>
        <v/>
      </c>
      <c r="G60" s="18">
        <f>IF(G11=0,"",'Quick Commerce'!G11/G11)</f>
        <v/>
      </c>
      <c r="H60" s="18">
        <f>IF(H11=0,"",'Quick Commerce'!H11/H11)</f>
        <v/>
      </c>
      <c r="I60" s="18">
        <f>IF(I11=0,"",'Quick Commerce'!I11/I11)</f>
        <v/>
      </c>
      <c r="J60" s="18">
        <f>IF(J11=0,"",'Quick Commerce'!J11/J11)</f>
        <v/>
      </c>
      <c r="K60" s="18">
        <f>IF(K11=0,"",'Quick Commerce'!K11/K11)</f>
        <v/>
      </c>
      <c r="L60" s="18">
        <f>IF(L11=0,"",'Quick Commerce'!L11/L11)</f>
        <v/>
      </c>
      <c r="M60" s="18">
        <f>IF(M11=0,"",'Quick Commerce'!M11/M11)</f>
        <v/>
      </c>
      <c r="N60" s="18">
        <f>IF(N11=0,"",'Quick Commerce'!N11/N11)</f>
        <v/>
      </c>
      <c r="O60" s="18">
        <f>IF(O11=0,"",'Quick Commerce'!O11/O11)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Website — channel P&amp;L</t>
        </is>
      </c>
    </row>
    <row r="2">
      <c r="A2" s="2" t="inlineStr">
        <is>
          <t>Own website. Blue cells are yours to fill each month, in INR lakh. Hover a label for guidance.</t>
        </is>
      </c>
    </row>
    <row r="3">
      <c r="A3" s="10" t="inlineStr">
        <is>
          <t>Line item</t>
        </is>
      </c>
      <c r="B3" s="10" t="inlineStr">
        <is>
          <t>Where to find it / how to fill</t>
        </is>
      </c>
      <c r="C3" s="11" t="inlineStr">
        <is>
          <t>Apr-26</t>
        </is>
      </c>
      <c r="D3" s="11" t="inlineStr">
        <is>
          <t>May-26</t>
        </is>
      </c>
      <c r="E3" s="11" t="inlineStr">
        <is>
          <t>Jun-26</t>
        </is>
      </c>
      <c r="F3" s="11" t="inlineStr">
        <is>
          <t>Jul-26</t>
        </is>
      </c>
      <c r="G3" s="11" t="inlineStr">
        <is>
          <t>Aug-26</t>
        </is>
      </c>
      <c r="H3" s="11" t="inlineStr">
        <is>
          <t>Sep-26</t>
        </is>
      </c>
      <c r="I3" s="11" t="inlineStr">
        <is>
          <t>Oct-26</t>
        </is>
      </c>
      <c r="J3" s="11" t="inlineStr">
        <is>
          <t>Nov-26</t>
        </is>
      </c>
      <c r="K3" s="11" t="inlineStr">
        <is>
          <t>Dec-26</t>
        </is>
      </c>
      <c r="L3" s="11" t="inlineStr">
        <is>
          <t>Jan-27</t>
        </is>
      </c>
      <c r="M3" s="11" t="inlineStr">
        <is>
          <t>Feb-27</t>
        </is>
      </c>
      <c r="N3" s="11" t="inlineStr">
        <is>
          <t>Mar-27</t>
        </is>
      </c>
      <c r="O3" s="11" t="inlineStr">
        <is>
          <t>Total / Avg</t>
        </is>
      </c>
    </row>
    <row r="4">
      <c r="A4" s="3" t="inlineStr">
        <is>
          <t>REVENUE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5" t="inlineStr">
        <is>
          <t>Gross sales (GMV) incl. GST</t>
        </is>
      </c>
      <c r="B5" s="9" t="inlineStr">
        <is>
          <t>Shopify › Analytics › Gross sales (before discounts, returns and shipping). Woo/Magento: sum of order value incl. GST.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4">
        <f>SUM(C5:N5)</f>
        <v/>
      </c>
    </row>
    <row r="6">
      <c r="A6" s="5" t="inlineStr">
        <is>
          <t>Consumer discounts &amp; coupons</t>
        </is>
      </c>
      <c r="B6" s="9" t="inlineStr">
        <is>
          <t>Shopify › Analytics › Discounts.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4">
        <f>SUM(C6:N6)</f>
        <v/>
      </c>
    </row>
    <row r="7">
      <c r="A7" s="5" t="inlineStr">
        <is>
          <t>Returns, RTO &amp; cancellations after dispatch</t>
        </is>
      </c>
      <c r="B7" s="9" t="inlineStr">
        <is>
          <t>Shopify › Analytics › Returns, plus RTO value from your courier or Shiprocket RTO report.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4">
        <f>SUM(C7:N7)</f>
        <v/>
      </c>
    </row>
    <row r="8">
      <c r="A8" s="5" t="inlineStr">
        <is>
          <t>Net revenue before GST</t>
        </is>
      </c>
      <c r="B8" s="2" t="inlineStr">
        <is>
          <t>Formula; do not type here.</t>
        </is>
      </c>
      <c r="C8" s="14">
        <f>C5-C6-0-C7-0-0-0+0</f>
        <v/>
      </c>
      <c r="D8" s="14">
        <f>D5-D6-0-D7-0-0-0+0</f>
        <v/>
      </c>
      <c r="E8" s="14">
        <f>E5-E6-0-E7-0-0-0+0</f>
        <v/>
      </c>
      <c r="F8" s="14">
        <f>F5-F6-0-F7-0-0-0+0</f>
        <v/>
      </c>
      <c r="G8" s="14">
        <f>G5-G6-0-G7-0-0-0+0</f>
        <v/>
      </c>
      <c r="H8" s="14">
        <f>H5-H6-0-H7-0-0-0+0</f>
        <v/>
      </c>
      <c r="I8" s="14">
        <f>I5-I6-0-I7-0-0-0+0</f>
        <v/>
      </c>
      <c r="J8" s="14">
        <f>J5-J6-0-J7-0-0-0+0</f>
        <v/>
      </c>
      <c r="K8" s="14">
        <f>K5-K6-0-K7-0-0-0+0</f>
        <v/>
      </c>
      <c r="L8" s="14">
        <f>L5-L6-0-L7-0-0-0+0</f>
        <v/>
      </c>
      <c r="M8" s="14">
        <f>M5-M6-0-M7-0-0-0+0</f>
        <v/>
      </c>
      <c r="N8" s="14">
        <f>N5-N6-0-N7-0-0-0+0</f>
        <v/>
      </c>
      <c r="O8" s="14">
        <f>SUM(C8:N8)</f>
        <v/>
      </c>
    </row>
    <row r="9">
      <c r="A9" s="5" t="inlineStr">
        <is>
          <t>Less: GST (output tax)</t>
        </is>
      </c>
      <c r="B9" s="2" t="inlineStr">
        <is>
          <t>Formula; do not type here.</t>
        </is>
      </c>
      <c r="C9" s="14">
        <f>C8-C8/(1+'Start Here'!$B$22)</f>
        <v/>
      </c>
      <c r="D9" s="14">
        <f>D8-D8/(1+'Start Here'!$B$22)</f>
        <v/>
      </c>
      <c r="E9" s="14">
        <f>E8-E8/(1+'Start Here'!$B$22)</f>
        <v/>
      </c>
      <c r="F9" s="14">
        <f>F8-F8/(1+'Start Here'!$B$22)</f>
        <v/>
      </c>
      <c r="G9" s="14">
        <f>G8-G8/(1+'Start Here'!$B$22)</f>
        <v/>
      </c>
      <c r="H9" s="14">
        <f>H8-H8/(1+'Start Here'!$B$22)</f>
        <v/>
      </c>
      <c r="I9" s="14">
        <f>I8-I8/(1+'Start Here'!$B$22)</f>
        <v/>
      </c>
      <c r="J9" s="14">
        <f>J8-J8/(1+'Start Here'!$B$22)</f>
        <v/>
      </c>
      <c r="K9" s="14">
        <f>K8-K8/(1+'Start Here'!$B$22)</f>
        <v/>
      </c>
      <c r="L9" s="14">
        <f>L8-L8/(1+'Start Here'!$B$22)</f>
        <v/>
      </c>
      <c r="M9" s="14">
        <f>M8-M8/(1+'Start Here'!$B$22)</f>
        <v/>
      </c>
      <c r="N9" s="14">
        <f>N8-N8/(1+'Start Here'!$B$22)</f>
        <v/>
      </c>
      <c r="O9" s="14">
        <f>SUM(C9:N9)</f>
        <v/>
      </c>
    </row>
    <row r="10">
      <c r="A10" s="15" t="inlineStr">
        <is>
          <t>NET SALES (post GST)</t>
        </is>
      </c>
      <c r="B10" s="16" t="inlineStr">
        <is>
          <t>Formula; do not type here.</t>
        </is>
      </c>
      <c r="C10" s="17">
        <f>C8-C9</f>
        <v/>
      </c>
      <c r="D10" s="17">
        <f>D8-D9</f>
        <v/>
      </c>
      <c r="E10" s="17">
        <f>E8-E9</f>
        <v/>
      </c>
      <c r="F10" s="17">
        <f>F8-F9</f>
        <v/>
      </c>
      <c r="G10" s="17">
        <f>G8-G9</f>
        <v/>
      </c>
      <c r="H10" s="17">
        <f>H8-H9</f>
        <v/>
      </c>
      <c r="I10" s="17">
        <f>I8-I9</f>
        <v/>
      </c>
      <c r="J10" s="17">
        <f>J8-J9</f>
        <v/>
      </c>
      <c r="K10" s="17">
        <f>K8-K9</f>
        <v/>
      </c>
      <c r="L10" s="17">
        <f>L8-L9</f>
        <v/>
      </c>
      <c r="M10" s="17">
        <f>M8-M9</f>
        <v/>
      </c>
      <c r="N10" s="17">
        <f>N8-N9</f>
        <v/>
      </c>
      <c r="O10" s="17">
        <f>SUM(C10:N10)</f>
        <v/>
      </c>
    </row>
    <row r="12">
      <c r="A12" s="3" t="inlineStr">
        <is>
          <t>COST OF GOODS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5" t="inlineStr">
        <is>
          <t>Cost of goods sold (product + conversion + primary packaging)</t>
        </is>
      </c>
      <c r="B13" s="9" t="inlineStr">
        <is>
          <t>Contract-manufactured: product cost + primary packaging per unit × units sold this month. Include the cost of testers and samples given away.</t>
        </is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4">
        <f>SUM(C13:N13)</f>
        <v/>
      </c>
    </row>
    <row r="14">
      <c r="A14" s="15" t="inlineStr">
        <is>
          <t>GROSS MARGIN</t>
        </is>
      </c>
      <c r="B14" s="16" t="inlineStr">
        <is>
          <t>Formula; do not type here.</t>
        </is>
      </c>
      <c r="C14" s="17">
        <f>C10-C13</f>
        <v/>
      </c>
      <c r="D14" s="17">
        <f>D10-D13</f>
        <v/>
      </c>
      <c r="E14" s="17">
        <f>E10-E13</f>
        <v/>
      </c>
      <c r="F14" s="17">
        <f>F10-F13</f>
        <v/>
      </c>
      <c r="G14" s="17">
        <f>G10-G13</f>
        <v/>
      </c>
      <c r="H14" s="17">
        <f>H10-H13</f>
        <v/>
      </c>
      <c r="I14" s="17">
        <f>I10-I13</f>
        <v/>
      </c>
      <c r="J14" s="17">
        <f>J10-J13</f>
        <v/>
      </c>
      <c r="K14" s="17">
        <f>K10-K13</f>
        <v/>
      </c>
      <c r="L14" s="17">
        <f>L10-L13</f>
        <v/>
      </c>
      <c r="M14" s="17">
        <f>M10-M13</f>
        <v/>
      </c>
      <c r="N14" s="17">
        <f>N10-N13</f>
        <v/>
      </c>
      <c r="O14" s="17">
        <f>SUM(C14:N14)</f>
        <v/>
      </c>
    </row>
    <row r="15">
      <c r="A15" s="5" t="inlineStr">
        <is>
          <t>Gross margin %</t>
        </is>
      </c>
      <c r="B15" s="2" t="inlineStr">
        <is>
          <t>Ratio; do not type here.</t>
        </is>
      </c>
      <c r="C15" s="18">
        <f>IF(C10=0,"",C14/C10)</f>
        <v/>
      </c>
      <c r="D15" s="18">
        <f>IF(D10=0,"",D14/D10)</f>
        <v/>
      </c>
      <c r="E15" s="18">
        <f>IF(E10=0,"",E14/E10)</f>
        <v/>
      </c>
      <c r="F15" s="18">
        <f>IF(F10=0,"",F14/F10)</f>
        <v/>
      </c>
      <c r="G15" s="18">
        <f>IF(G10=0,"",G14/G10)</f>
        <v/>
      </c>
      <c r="H15" s="18">
        <f>IF(H10=0,"",H14/H10)</f>
        <v/>
      </c>
      <c r="I15" s="18">
        <f>IF(I10=0,"",I14/I10)</f>
        <v/>
      </c>
      <c r="J15" s="18">
        <f>IF(J10=0,"",J14/J10)</f>
        <v/>
      </c>
      <c r="K15" s="18">
        <f>IF(K10=0,"",K14/K10)</f>
        <v/>
      </c>
      <c r="L15" s="18">
        <f>IF(L10=0,"",L14/L10)</f>
        <v/>
      </c>
      <c r="M15" s="18">
        <f>IF(M10=0,"",M14/M10)</f>
        <v/>
      </c>
      <c r="N15" s="18">
        <f>IF(N10=0,"",N14/N10)</f>
        <v/>
      </c>
      <c r="O15" s="18">
        <f>IF(O10=0,"",O14/O10)</f>
        <v/>
      </c>
    </row>
    <row r="17">
      <c r="A17" s="3" t="inlineStr">
        <is>
          <t>FULFILMENT &amp; CHANNEL COSTS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5" t="inlineStr">
        <is>
          <t>Logistics: forward, reverse, RTO &amp; COD charges, secondary packaging</t>
        </is>
      </c>
      <c r="B18" s="9" t="inlineStr">
        <is>
          <t>Shiprocket / Delhivery / Bluedart invoices for the month excl. GST, plus shipper cartons and fillers. Amazon: FBA fulfilment fee.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4">
        <f>SUM(C18:N18)</f>
        <v/>
      </c>
    </row>
    <row r="19">
      <c r="A19" s="5" t="inlineStr">
        <is>
          <t>Less: shipping &amp; COD fees collected from customers</t>
        </is>
      </c>
      <c r="B19" s="9" t="inlineStr">
        <is>
          <t>Shopify › Analytics › Shipping charges, plus COD handling fees charged to customers. Enter as a positive number; the sheet subtracts it.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4">
        <f>SUM(C19:N19)</f>
        <v/>
      </c>
    </row>
    <row r="20">
      <c r="A20" s="5" t="inlineStr">
        <is>
          <t>Warehousing &amp; operations (rent, staff, packing labour)</t>
        </is>
      </c>
      <c r="B20" s="9" t="inlineStr">
        <is>
          <t>Warehouse rent, warehouse staff, packing consumables for the month. If shared across channels, split by orders.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4">
        <f>SUM(C20:N20)</f>
        <v/>
      </c>
    </row>
    <row r="21">
      <c r="A21" s="5" t="inlineStr">
        <is>
          <t>Payment gateway charges</t>
        </is>
      </c>
      <c r="B21" s="9" t="inlineStr">
        <is>
          <t>Razorpay / PayU / Cashfree statement › fees for the month excl. GST. Typically 1.8–2.2% of prepaid collections.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4">
        <f>SUM(C21:N21)</f>
        <v/>
      </c>
    </row>
    <row r="22">
      <c r="A22" s="15" t="inlineStr">
        <is>
          <t>CONTRIBUTION MARGIN 1 (CM1)</t>
        </is>
      </c>
      <c r="B22" s="16" t="inlineStr">
        <is>
          <t>Formula; do not type here.</t>
        </is>
      </c>
      <c r="C22" s="17">
        <f>C14-C18+C19-C20-C21-0-0</f>
        <v/>
      </c>
      <c r="D22" s="17">
        <f>D14-D18+D19-D20-D21-0-0</f>
        <v/>
      </c>
      <c r="E22" s="17">
        <f>E14-E18+E19-E20-E21-0-0</f>
        <v/>
      </c>
      <c r="F22" s="17">
        <f>F14-F18+F19-F20-F21-0-0</f>
        <v/>
      </c>
      <c r="G22" s="17">
        <f>G14-G18+G19-G20-G21-0-0</f>
        <v/>
      </c>
      <c r="H22" s="17">
        <f>H14-H18+H19-H20-H21-0-0</f>
        <v/>
      </c>
      <c r="I22" s="17">
        <f>I14-I18+I19-I20-I21-0-0</f>
        <v/>
      </c>
      <c r="J22" s="17">
        <f>J14-J18+J19-J20-J21-0-0</f>
        <v/>
      </c>
      <c r="K22" s="17">
        <f>K14-K18+K19-K20-K21-0-0</f>
        <v/>
      </c>
      <c r="L22" s="17">
        <f>L14-L18+L19-L20-L21-0-0</f>
        <v/>
      </c>
      <c r="M22" s="17">
        <f>M14-M18+M19-M20-M21-0-0</f>
        <v/>
      </c>
      <c r="N22" s="17">
        <f>N14-N18+N19-N20-N21-0-0</f>
        <v/>
      </c>
      <c r="O22" s="17">
        <f>SUM(C22:N22)</f>
        <v/>
      </c>
    </row>
    <row r="23">
      <c r="A23" s="5" t="inlineStr">
        <is>
          <t>CM1 %</t>
        </is>
      </c>
      <c r="B23" s="2" t="inlineStr">
        <is>
          <t>Ratio; do not type here.</t>
        </is>
      </c>
      <c r="C23" s="18">
        <f>IF(C10=0,"",C22/C10)</f>
        <v/>
      </c>
      <c r="D23" s="18">
        <f>IF(D10=0,"",D22/D10)</f>
        <v/>
      </c>
      <c r="E23" s="18">
        <f>IF(E10=0,"",E22/E10)</f>
        <v/>
      </c>
      <c r="F23" s="18">
        <f>IF(F10=0,"",F22/F10)</f>
        <v/>
      </c>
      <c r="G23" s="18">
        <f>IF(G10=0,"",G22/G10)</f>
        <v/>
      </c>
      <c r="H23" s="18">
        <f>IF(H10=0,"",H22/H10)</f>
        <v/>
      </c>
      <c r="I23" s="18">
        <f>IF(I10=0,"",I22/I10)</f>
        <v/>
      </c>
      <c r="J23" s="18">
        <f>IF(J10=0,"",J22/J10)</f>
        <v/>
      </c>
      <c r="K23" s="18">
        <f>IF(K10=0,"",K22/K10)</f>
        <v/>
      </c>
      <c r="L23" s="18">
        <f>IF(L10=0,"",L22/L10)</f>
        <v/>
      </c>
      <c r="M23" s="18">
        <f>IF(M10=0,"",M22/M10)</f>
        <v/>
      </c>
      <c r="N23" s="18">
        <f>IF(N10=0,"",N22/N10)</f>
        <v/>
      </c>
      <c r="O23" s="18">
        <f>IF(O10=0,"",O22/O10)</f>
        <v/>
      </c>
    </row>
    <row r="25">
      <c r="A25" s="3" t="inlineStr">
        <is>
          <t>MARKETING &amp; SELLING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5" t="inlineStr">
        <is>
          <t>Performance marketing (Meta, Google, affiliates)</t>
        </is>
      </c>
      <c r="B26" s="9" t="inlineStr">
        <is>
          <t>Meta Ads Manager and Google Ads billing for the month, excluding GST. Add affiliate and influencer payouts tied to sales.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4">
        <f>SUM(C26:N26)</f>
        <v/>
      </c>
    </row>
    <row r="27">
      <c r="A27" s="15" t="inlineStr">
        <is>
          <t>CONTRIBUTION MARGIN 2 (CM2)</t>
        </is>
      </c>
      <c r="B27" s="16" t="inlineStr">
        <is>
          <t>Formula; do not type here.</t>
        </is>
      </c>
      <c r="C27" s="17">
        <f>C22-C26-0-0-0</f>
        <v/>
      </c>
      <c r="D27" s="17">
        <f>D22-D26-0-0-0</f>
        <v/>
      </c>
      <c r="E27" s="17">
        <f>E22-E26-0-0-0</f>
        <v/>
      </c>
      <c r="F27" s="17">
        <f>F22-F26-0-0-0</f>
        <v/>
      </c>
      <c r="G27" s="17">
        <f>G22-G26-0-0-0</f>
        <v/>
      </c>
      <c r="H27" s="17">
        <f>H22-H26-0-0-0</f>
        <v/>
      </c>
      <c r="I27" s="17">
        <f>I22-I26-0-0-0</f>
        <v/>
      </c>
      <c r="J27" s="17">
        <f>J22-J26-0-0-0</f>
        <v/>
      </c>
      <c r="K27" s="17">
        <f>K22-K26-0-0-0</f>
        <v/>
      </c>
      <c r="L27" s="17">
        <f>L22-L26-0-0-0</f>
        <v/>
      </c>
      <c r="M27" s="17">
        <f>M22-M26-0-0-0</f>
        <v/>
      </c>
      <c r="N27" s="17">
        <f>N22-N26-0-0-0</f>
        <v/>
      </c>
      <c r="O27" s="17">
        <f>SUM(C27:N27)</f>
        <v/>
      </c>
    </row>
    <row r="28">
      <c r="A28" s="5" t="inlineStr">
        <is>
          <t>CM2 %</t>
        </is>
      </c>
      <c r="B28" s="2" t="inlineStr">
        <is>
          <t>Ratio; do not type here.</t>
        </is>
      </c>
      <c r="C28" s="18">
        <f>IF(C10=0,"",C27/C10)</f>
        <v/>
      </c>
      <c r="D28" s="18">
        <f>IF(D10=0,"",D27/D10)</f>
        <v/>
      </c>
      <c r="E28" s="18">
        <f>IF(E10=0,"",E27/E10)</f>
        <v/>
      </c>
      <c r="F28" s="18">
        <f>IF(F10=0,"",F27/F10)</f>
        <v/>
      </c>
      <c r="G28" s="18">
        <f>IF(G10=0,"",G27/G10)</f>
        <v/>
      </c>
      <c r="H28" s="18">
        <f>IF(H10=0,"",H27/H10)</f>
        <v/>
      </c>
      <c r="I28" s="18">
        <f>IF(I10=0,"",I27/I10)</f>
        <v/>
      </c>
      <c r="J28" s="18">
        <f>IF(J10=0,"",J27/J10)</f>
        <v/>
      </c>
      <c r="K28" s="18">
        <f>IF(K10=0,"",K27/K10)</f>
        <v/>
      </c>
      <c r="L28" s="18">
        <f>IF(L10=0,"",L27/L10)</f>
        <v/>
      </c>
      <c r="M28" s="18">
        <f>IF(M10=0,"",M27/M10)</f>
        <v/>
      </c>
      <c r="N28" s="18">
        <f>IF(N10=0,"",N27/N10)</f>
        <v/>
      </c>
      <c r="O28" s="18">
        <f>IF(O10=0,"",O27/O10)</f>
        <v/>
      </c>
    </row>
    <row r="30">
      <c r="A30" s="3" t="inlineStr">
        <is>
          <t>MEMO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>
      <c r="A31" s="5" t="inlineStr">
        <is>
          <t>Orders shipped (count)</t>
        </is>
      </c>
      <c r="B31" s="9" t="inlineStr">
        <is>
          <t>Shopify › Orders (fulfilled) or marketplace › Orders shipped. Offline / Qcom: units or cases invoiced.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2">
        <f>SUM(C31:N31)</f>
        <v/>
      </c>
    </row>
    <row r="32">
      <c r="A32" s="5" t="inlineStr">
        <is>
          <t>Average order value incl. GST</t>
        </is>
      </c>
      <c r="B32" s="2" t="inlineStr">
        <is>
          <t>Formula; do not type here.</t>
        </is>
      </c>
      <c r="C32" s="14">
        <f>IF(C31=0,"",C5/C31)</f>
        <v/>
      </c>
      <c r="D32" s="14">
        <f>IF(D31=0,"",D5/D31)</f>
        <v/>
      </c>
      <c r="E32" s="14">
        <f>IF(E31=0,"",E5/E31)</f>
        <v/>
      </c>
      <c r="F32" s="14">
        <f>IF(F31=0,"",F5/F31)</f>
        <v/>
      </c>
      <c r="G32" s="14">
        <f>IF(G31=0,"",G5/G31)</f>
        <v/>
      </c>
      <c r="H32" s="14">
        <f>IF(H31=0,"",H5/H31)</f>
        <v/>
      </c>
      <c r="I32" s="14">
        <f>IF(I31=0,"",I5/I31)</f>
        <v/>
      </c>
      <c r="J32" s="14">
        <f>IF(J31=0,"",J5/J31)</f>
        <v/>
      </c>
      <c r="K32" s="14">
        <f>IF(K31=0,"",K5/K31)</f>
        <v/>
      </c>
      <c r="L32" s="14">
        <f>IF(L31=0,"",L5/L31)</f>
        <v/>
      </c>
      <c r="M32" s="14">
        <f>IF(M31=0,"",M5/M31)</f>
        <v/>
      </c>
      <c r="N32" s="14">
        <f>IF(N31=0,"",N5/N31)</f>
        <v/>
      </c>
      <c r="O32" s="14">
        <f>IF(O31=0,"",O5/O31)</f>
        <v/>
      </c>
    </row>
    <row r="33">
      <c r="A33" s="5" t="inlineStr">
        <is>
          <t>RoAS (net sales ÷ marketing)</t>
        </is>
      </c>
      <c r="B33" s="2" t="inlineStr">
        <is>
          <t>Formula; do not type here.</t>
        </is>
      </c>
      <c r="C33" s="20">
        <f>IF(C26=0,"",C10/C26)</f>
        <v/>
      </c>
      <c r="D33" s="20">
        <f>IF(D26=0,"",D10/D26)</f>
        <v/>
      </c>
      <c r="E33" s="20">
        <f>IF(E26=0,"",E10/E26)</f>
        <v/>
      </c>
      <c r="F33" s="20">
        <f>IF(F26=0,"",F10/F26)</f>
        <v/>
      </c>
      <c r="G33" s="20">
        <f>IF(G26=0,"",G10/G26)</f>
        <v/>
      </c>
      <c r="H33" s="20">
        <f>IF(H26=0,"",H10/H26)</f>
        <v/>
      </c>
      <c r="I33" s="20">
        <f>IF(I26=0,"",I10/I26)</f>
        <v/>
      </c>
      <c r="J33" s="20">
        <f>IF(J26=0,"",J10/J26)</f>
        <v/>
      </c>
      <c r="K33" s="20">
        <f>IF(K26=0,"",K10/K26)</f>
        <v/>
      </c>
      <c r="L33" s="20">
        <f>IF(L26=0,"",L10/L26)</f>
        <v/>
      </c>
      <c r="M33" s="20">
        <f>IF(M26=0,"",M10/M26)</f>
        <v/>
      </c>
      <c r="N33" s="20">
        <f>IF(N26=0,"",N10/N26)</f>
        <v/>
      </c>
      <c r="O33" s="20">
        <f>IF(O26=0,"",O10/O26)</f>
        <v/>
      </c>
    </row>
    <row r="34">
      <c r="A34" s="5" t="inlineStr">
        <is>
          <t>Returns &amp; RTO % of GMV</t>
        </is>
      </c>
      <c r="B34" s="2" t="inlineStr">
        <is>
          <t>Ratio; do not type here.</t>
        </is>
      </c>
      <c r="C34" s="18">
        <f>IF(C5=0,"",(C7+0+0+0)/C5)</f>
        <v/>
      </c>
      <c r="D34" s="18">
        <f>IF(D5=0,"",(D7+0+0+0)/D5)</f>
        <v/>
      </c>
      <c r="E34" s="18">
        <f>IF(E5=0,"",(E7+0+0+0)/E5)</f>
        <v/>
      </c>
      <c r="F34" s="18">
        <f>IF(F5=0,"",(F7+0+0+0)/F5)</f>
        <v/>
      </c>
      <c r="G34" s="18">
        <f>IF(G5=0,"",(G7+0+0+0)/G5)</f>
        <v/>
      </c>
      <c r="H34" s="18">
        <f>IF(H5=0,"",(H7+0+0+0)/H5)</f>
        <v/>
      </c>
      <c r="I34" s="18">
        <f>IF(I5=0,"",(I7+0+0+0)/I5)</f>
        <v/>
      </c>
      <c r="J34" s="18">
        <f>IF(J5=0,"",(J7+0+0+0)/J5)</f>
        <v/>
      </c>
      <c r="K34" s="18">
        <f>IF(K5=0,"",(K7+0+0+0)/K5)</f>
        <v/>
      </c>
      <c r="L34" s="18">
        <f>IF(L5=0,"",(L7+0+0+0)/L5)</f>
        <v/>
      </c>
      <c r="M34" s="18">
        <f>IF(M5=0,"",(M7+0+0+0)/M5)</f>
        <v/>
      </c>
      <c r="N34" s="18">
        <f>IF(N5=0,"",(N7+0+0+0)/N5)</f>
        <v/>
      </c>
      <c r="O34" s="18">
        <f>IF(O5=0,"",(O7+0+0+0)/O5)</f>
        <v/>
      </c>
    </row>
    <row r="35">
      <c r="A35" s="5" t="inlineStr">
        <is>
          <t>Discounts % of GMV</t>
        </is>
      </c>
      <c r="B35" s="2" t="inlineStr">
        <is>
          <t>Ratio; do not type here.</t>
        </is>
      </c>
      <c r="C35" s="18">
        <f>IF(C5=0,"",C6/C5)</f>
        <v/>
      </c>
      <c r="D35" s="18">
        <f>IF(D5=0,"",D6/D5)</f>
        <v/>
      </c>
      <c r="E35" s="18">
        <f>IF(E5=0,"",E6/E5)</f>
        <v/>
      </c>
      <c r="F35" s="18">
        <f>IF(F5=0,"",F6/F5)</f>
        <v/>
      </c>
      <c r="G35" s="18">
        <f>IF(G5=0,"",G6/G5)</f>
        <v/>
      </c>
      <c r="H35" s="18">
        <f>IF(H5=0,"",H6/H5)</f>
        <v/>
      </c>
      <c r="I35" s="18">
        <f>IF(I5=0,"",I6/I5)</f>
        <v/>
      </c>
      <c r="J35" s="18">
        <f>IF(J5=0,"",J6/J5)</f>
        <v/>
      </c>
      <c r="K35" s="18">
        <f>IF(K5=0,"",K6/K5)</f>
        <v/>
      </c>
      <c r="L35" s="18">
        <f>IF(L5=0,"",L6/L5)</f>
        <v/>
      </c>
      <c r="M35" s="18">
        <f>IF(M5=0,"",M6/M5)</f>
        <v/>
      </c>
      <c r="N35" s="18">
        <f>IF(N5=0,"",N6/N5)</f>
        <v/>
      </c>
      <c r="O35" s="18">
        <f>IF(O5=0,"",O6/O5)</f>
        <v/>
      </c>
    </row>
    <row r="36">
      <c r="A36" s="5" t="inlineStr">
        <is>
          <t>Marketing % of net sales</t>
        </is>
      </c>
      <c r="B36" s="2" t="inlineStr">
        <is>
          <t>Ratio; do not type here.</t>
        </is>
      </c>
      <c r="C36" s="18">
        <f>IF(C10=0,"",(C26+0)/C10)</f>
        <v/>
      </c>
      <c r="D36" s="18">
        <f>IF(D10=0,"",(D26+0)/D10)</f>
        <v/>
      </c>
      <c r="E36" s="18">
        <f>IF(E10=0,"",(E26+0)/E10)</f>
        <v/>
      </c>
      <c r="F36" s="18">
        <f>IF(F10=0,"",(F26+0)/F10)</f>
        <v/>
      </c>
      <c r="G36" s="18">
        <f>IF(G10=0,"",(G26+0)/G10)</f>
        <v/>
      </c>
      <c r="H36" s="18">
        <f>IF(H10=0,"",(H26+0)/H10)</f>
        <v/>
      </c>
      <c r="I36" s="18">
        <f>IF(I10=0,"",(I26+0)/I10)</f>
        <v/>
      </c>
      <c r="J36" s="18">
        <f>IF(J10=0,"",(J26+0)/J10)</f>
        <v/>
      </c>
      <c r="K36" s="18">
        <f>IF(K10=0,"",(K26+0)/K10)</f>
        <v/>
      </c>
      <c r="L36" s="18">
        <f>IF(L10=0,"",(L26+0)/L10)</f>
        <v/>
      </c>
      <c r="M36" s="18">
        <f>IF(M10=0,"",(M26+0)/M10)</f>
        <v/>
      </c>
      <c r="N36" s="18">
        <f>IF(N10=0,"",(N26+0)/N10)</f>
        <v/>
      </c>
      <c r="O36" s="18">
        <f>IF(O10=0,"",(O26+0)/O10)</f>
        <v/>
      </c>
    </row>
    <row r="37">
      <c r="A37" s="5" t="inlineStr">
        <is>
          <t>Logistics % of net sales</t>
        </is>
      </c>
      <c r="B37" s="2" t="inlineStr">
        <is>
          <t>Ratio; do not type here.</t>
        </is>
      </c>
      <c r="C37" s="18">
        <f>IF(C10=0,"",(C18-C19+C20)/C10)</f>
        <v/>
      </c>
      <c r="D37" s="18">
        <f>IF(D10=0,"",(D18-D19+D20)/D10)</f>
        <v/>
      </c>
      <c r="E37" s="18">
        <f>IF(E10=0,"",(E18-E19+E20)/E10)</f>
        <v/>
      </c>
      <c r="F37" s="18">
        <f>IF(F10=0,"",(F18-F19+F20)/F10)</f>
        <v/>
      </c>
      <c r="G37" s="18">
        <f>IF(G10=0,"",(G18-G19+G20)/G10)</f>
        <v/>
      </c>
      <c r="H37" s="18">
        <f>IF(H10=0,"",(H18-H19+H20)/H10)</f>
        <v/>
      </c>
      <c r="I37" s="18">
        <f>IF(I10=0,"",(I18-I19+I20)/I10)</f>
        <v/>
      </c>
      <c r="J37" s="18">
        <f>IF(J10=0,"",(J18-J19+J20)/J10)</f>
        <v/>
      </c>
      <c r="K37" s="18">
        <f>IF(K10=0,"",(K18-K19+K20)/K10)</f>
        <v/>
      </c>
      <c r="L37" s="18">
        <f>IF(L10=0,"",(L18-L19+L20)/L10)</f>
        <v/>
      </c>
      <c r="M37" s="18">
        <f>IF(M10=0,"",(M18-M19+M20)/M10)</f>
        <v/>
      </c>
      <c r="N37" s="18">
        <f>IF(N10=0,"",(N18-N19+N20)/N10)</f>
        <v/>
      </c>
      <c r="O37" s="18">
        <f>IF(O10=0,"",(O18-O19+O20)/O10)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Quick Commerce — channel P&amp;L</t>
        </is>
      </c>
    </row>
    <row r="2">
      <c r="A2" s="2" t="inlineStr">
        <is>
          <t>Quick commerce. Blue cells are yours to fill each month, in INR lakh. Hover a label for guidance.</t>
        </is>
      </c>
    </row>
    <row r="3">
      <c r="A3" s="10" t="inlineStr">
        <is>
          <t>Line item</t>
        </is>
      </c>
      <c r="B3" s="10" t="inlineStr">
        <is>
          <t>Where to find it / how to fill</t>
        </is>
      </c>
      <c r="C3" s="11" t="inlineStr">
        <is>
          <t>Apr-26</t>
        </is>
      </c>
      <c r="D3" s="11" t="inlineStr">
        <is>
          <t>May-26</t>
        </is>
      </c>
      <c r="E3" s="11" t="inlineStr">
        <is>
          <t>Jun-26</t>
        </is>
      </c>
      <c r="F3" s="11" t="inlineStr">
        <is>
          <t>Jul-26</t>
        </is>
      </c>
      <c r="G3" s="11" t="inlineStr">
        <is>
          <t>Aug-26</t>
        </is>
      </c>
      <c r="H3" s="11" t="inlineStr">
        <is>
          <t>Sep-26</t>
        </is>
      </c>
      <c r="I3" s="11" t="inlineStr">
        <is>
          <t>Oct-26</t>
        </is>
      </c>
      <c r="J3" s="11" t="inlineStr">
        <is>
          <t>Nov-26</t>
        </is>
      </c>
      <c r="K3" s="11" t="inlineStr">
        <is>
          <t>Dec-26</t>
        </is>
      </c>
      <c r="L3" s="11" t="inlineStr">
        <is>
          <t>Jan-27</t>
        </is>
      </c>
      <c r="M3" s="11" t="inlineStr">
        <is>
          <t>Feb-27</t>
        </is>
      </c>
      <c r="N3" s="11" t="inlineStr">
        <is>
          <t>Mar-27</t>
        </is>
      </c>
      <c r="O3" s="11" t="inlineStr">
        <is>
          <t>Total / Avg</t>
        </is>
      </c>
    </row>
    <row r="4">
      <c r="A4" s="3" t="inlineStr">
        <is>
          <t>REVENUE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5" t="inlineStr">
        <is>
          <t>Gross sales (GMV) incl. GST</t>
        </is>
      </c>
      <c r="B5" s="9" t="inlineStr">
        <is>
          <t>Partner dashboard › GMV at MRP incl. GST for the month.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4">
        <f>SUM(C5:N5)</f>
        <v/>
      </c>
    </row>
    <row r="6">
      <c r="A6" s="5" t="inlineStr">
        <is>
          <t>Consumer discounts &amp; coupons</t>
        </is>
      </c>
      <c r="B6" s="9" t="inlineStr">
        <is>
          <t>Leave blank here if you enter brand-funded promos on the Consumer promotions line.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4">
        <f>SUM(C6:N6)</f>
        <v/>
      </c>
    </row>
    <row r="7">
      <c r="A7" s="5" t="inlineStr">
        <is>
          <t>Quick-commerce partner margin</t>
        </is>
      </c>
      <c r="B7" s="9" t="inlineStr">
        <is>
          <t>MRP less your invoice price to the partner, per the trade agreement (typically 25–40%).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4">
        <f>SUM(C7:N7)</f>
        <v/>
      </c>
    </row>
    <row r="8">
      <c r="A8" s="5" t="inlineStr">
        <is>
          <t>Returns, RTO &amp; cancellations after dispatch</t>
        </is>
      </c>
      <c r="B8" s="9" t="inlineStr">
        <is>
          <t>Expiry or damage returns reversed on the PO. Usually near zero.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4">
        <f>SUM(C8:N8)</f>
        <v/>
      </c>
    </row>
    <row r="9">
      <c r="A9" s="5" t="inlineStr">
        <is>
          <t>Net revenue before GST</t>
        </is>
      </c>
      <c r="B9" s="2" t="inlineStr">
        <is>
          <t>Formula; do not type here.</t>
        </is>
      </c>
      <c r="C9" s="14">
        <f>C5-C6-C7-C8-0-0-0+0</f>
        <v/>
      </c>
      <c r="D9" s="14">
        <f>D5-D6-D7-D8-0-0-0+0</f>
        <v/>
      </c>
      <c r="E9" s="14">
        <f>E5-E6-E7-E8-0-0-0+0</f>
        <v/>
      </c>
      <c r="F9" s="14">
        <f>F5-F6-F7-F8-0-0-0+0</f>
        <v/>
      </c>
      <c r="G9" s="14">
        <f>G5-G6-G7-G8-0-0-0+0</f>
        <v/>
      </c>
      <c r="H9" s="14">
        <f>H5-H6-H7-H8-0-0-0+0</f>
        <v/>
      </c>
      <c r="I9" s="14">
        <f>I5-I6-I7-I8-0-0-0+0</f>
        <v/>
      </c>
      <c r="J9" s="14">
        <f>J5-J6-J7-J8-0-0-0+0</f>
        <v/>
      </c>
      <c r="K9" s="14">
        <f>K5-K6-K7-K8-0-0-0+0</f>
        <v/>
      </c>
      <c r="L9" s="14">
        <f>L5-L6-L7-L8-0-0-0+0</f>
        <v/>
      </c>
      <c r="M9" s="14">
        <f>M5-M6-M7-M8-0-0-0+0</f>
        <v/>
      </c>
      <c r="N9" s="14">
        <f>N5-N6-N7-N8-0-0-0+0</f>
        <v/>
      </c>
      <c r="O9" s="14">
        <f>SUM(C9:N9)</f>
        <v/>
      </c>
    </row>
    <row r="10">
      <c r="A10" s="5" t="inlineStr">
        <is>
          <t>Less: GST (output tax)</t>
        </is>
      </c>
      <c r="B10" s="2" t="inlineStr">
        <is>
          <t>Formula; do not type here.</t>
        </is>
      </c>
      <c r="C10" s="14">
        <f>C9-C9/(1+'Start Here'!$B$23)</f>
        <v/>
      </c>
      <c r="D10" s="14">
        <f>D9-D9/(1+'Start Here'!$B$23)</f>
        <v/>
      </c>
      <c r="E10" s="14">
        <f>E9-E9/(1+'Start Here'!$B$23)</f>
        <v/>
      </c>
      <c r="F10" s="14">
        <f>F9-F9/(1+'Start Here'!$B$23)</f>
        <v/>
      </c>
      <c r="G10" s="14">
        <f>G9-G9/(1+'Start Here'!$B$23)</f>
        <v/>
      </c>
      <c r="H10" s="14">
        <f>H9-H9/(1+'Start Here'!$B$23)</f>
        <v/>
      </c>
      <c r="I10" s="14">
        <f>I9-I9/(1+'Start Here'!$B$23)</f>
        <v/>
      </c>
      <c r="J10" s="14">
        <f>J9-J9/(1+'Start Here'!$B$23)</f>
        <v/>
      </c>
      <c r="K10" s="14">
        <f>K9-K9/(1+'Start Here'!$B$23)</f>
        <v/>
      </c>
      <c r="L10" s="14">
        <f>L9-L9/(1+'Start Here'!$B$23)</f>
        <v/>
      </c>
      <c r="M10" s="14">
        <f>M9-M9/(1+'Start Here'!$B$23)</f>
        <v/>
      </c>
      <c r="N10" s="14">
        <f>N9-N9/(1+'Start Here'!$B$23)</f>
        <v/>
      </c>
      <c r="O10" s="14">
        <f>SUM(C10:N10)</f>
        <v/>
      </c>
    </row>
    <row r="11">
      <c r="A11" s="15" t="inlineStr">
        <is>
          <t>NET SALES (post GST)</t>
        </is>
      </c>
      <c r="B11" s="16" t="inlineStr">
        <is>
          <t>Formula; do not type here.</t>
        </is>
      </c>
      <c r="C11" s="17">
        <f>C9-C10</f>
        <v/>
      </c>
      <c r="D11" s="17">
        <f>D9-D10</f>
        <v/>
      </c>
      <c r="E11" s="17">
        <f>E9-E10</f>
        <v/>
      </c>
      <c r="F11" s="17">
        <f>F9-F10</f>
        <v/>
      </c>
      <c r="G11" s="17">
        <f>G9-G10</f>
        <v/>
      </c>
      <c r="H11" s="17">
        <f>H9-H10</f>
        <v/>
      </c>
      <c r="I11" s="17">
        <f>I9-I10</f>
        <v/>
      </c>
      <c r="J11" s="17">
        <f>J9-J10</f>
        <v/>
      </c>
      <c r="K11" s="17">
        <f>K9-K10</f>
        <v/>
      </c>
      <c r="L11" s="17">
        <f>L9-L10</f>
        <v/>
      </c>
      <c r="M11" s="17">
        <f>M9-M10</f>
        <v/>
      </c>
      <c r="N11" s="17">
        <f>N9-N10</f>
        <v/>
      </c>
      <c r="O11" s="17">
        <f>SUM(C11:N11)</f>
        <v/>
      </c>
    </row>
    <row r="12">
      <c r="A12" s="5" t="inlineStr">
        <is>
          <t>Consumer promotions funded by brand</t>
        </is>
      </c>
      <c r="B12" s="9" t="inlineStr">
        <is>
          <t>Partner's debit note for brand-funded discounts, or dashboard › Promotions › brand share.</t>
        </is>
      </c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4">
        <f>SUM(C12:N12)</f>
        <v/>
      </c>
    </row>
    <row r="13">
      <c r="A13" s="5" t="inlineStr">
        <is>
          <t>Net sales after brand-funded promotions</t>
        </is>
      </c>
      <c r="B13" s="2" t="inlineStr">
        <is>
          <t>Formula; do not type here.</t>
        </is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  <c r="G13" s="14">
        <f>G11-G12</f>
        <v/>
      </c>
      <c r="H13" s="14">
        <f>H11-H12</f>
        <v/>
      </c>
      <c r="I13" s="14">
        <f>I11-I12</f>
        <v/>
      </c>
      <c r="J13" s="14">
        <f>J11-J12</f>
        <v/>
      </c>
      <c r="K13" s="14">
        <f>K11-K12</f>
        <v/>
      </c>
      <c r="L13" s="14">
        <f>L11-L12</f>
        <v/>
      </c>
      <c r="M13" s="14">
        <f>M11-M12</f>
        <v/>
      </c>
      <c r="N13" s="14">
        <f>N11-N12</f>
        <v/>
      </c>
      <c r="O13" s="14">
        <f>SUM(C13:N13)</f>
        <v/>
      </c>
    </row>
    <row r="15">
      <c r="A15" s="3" t="inlineStr">
        <is>
          <t>COST OF GOODS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5" t="inlineStr">
        <is>
          <t>Cost of goods sold (product + conversion + primary packaging)</t>
        </is>
      </c>
      <c r="B16" s="9" t="inlineStr">
        <is>
          <t>Contract-manufactured: product cost + primary packaging per unit × units sold this month. Include the cost of testers and samples given away.</t>
        </is>
      </c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4">
        <f>SUM(C16:N16)</f>
        <v/>
      </c>
    </row>
    <row r="17">
      <c r="A17" s="15" t="inlineStr">
        <is>
          <t>GROSS MARGIN</t>
        </is>
      </c>
      <c r="B17" s="16" t="inlineStr">
        <is>
          <t>Formula; do not type here.</t>
        </is>
      </c>
      <c r="C17" s="17">
        <f>C13-C16</f>
        <v/>
      </c>
      <c r="D17" s="17">
        <f>D13-D16</f>
        <v/>
      </c>
      <c r="E17" s="17">
        <f>E13-E16</f>
        <v/>
      </c>
      <c r="F17" s="17">
        <f>F13-F16</f>
        <v/>
      </c>
      <c r="G17" s="17">
        <f>G13-G16</f>
        <v/>
      </c>
      <c r="H17" s="17">
        <f>H13-H16</f>
        <v/>
      </c>
      <c r="I17" s="17">
        <f>I13-I16</f>
        <v/>
      </c>
      <c r="J17" s="17">
        <f>J13-J16</f>
        <v/>
      </c>
      <c r="K17" s="17">
        <f>K13-K16</f>
        <v/>
      </c>
      <c r="L17" s="17">
        <f>L13-L16</f>
        <v/>
      </c>
      <c r="M17" s="17">
        <f>M13-M16</f>
        <v/>
      </c>
      <c r="N17" s="17">
        <f>N13-N16</f>
        <v/>
      </c>
      <c r="O17" s="17">
        <f>SUM(C17:N17)</f>
        <v/>
      </c>
    </row>
    <row r="18">
      <c r="A18" s="5" t="inlineStr">
        <is>
          <t>Gross margin %</t>
        </is>
      </c>
      <c r="B18" s="2" t="inlineStr">
        <is>
          <t>Ratio; do not type here.</t>
        </is>
      </c>
      <c r="C18" s="18">
        <f>IF(C11=0,"",C17/C11)</f>
        <v/>
      </c>
      <c r="D18" s="18">
        <f>IF(D11=0,"",D17/D11)</f>
        <v/>
      </c>
      <c r="E18" s="18">
        <f>IF(E11=0,"",E17/E11)</f>
        <v/>
      </c>
      <c r="F18" s="18">
        <f>IF(F11=0,"",F17/F11)</f>
        <v/>
      </c>
      <c r="G18" s="18">
        <f>IF(G11=0,"",G17/G11)</f>
        <v/>
      </c>
      <c r="H18" s="18">
        <f>IF(H11=0,"",H17/H11)</f>
        <v/>
      </c>
      <c r="I18" s="18">
        <f>IF(I11=0,"",I17/I11)</f>
        <v/>
      </c>
      <c r="J18" s="18">
        <f>IF(J11=0,"",J17/J11)</f>
        <v/>
      </c>
      <c r="K18" s="18">
        <f>IF(K11=0,"",K17/K11)</f>
        <v/>
      </c>
      <c r="L18" s="18">
        <f>IF(L11=0,"",L17/L11)</f>
        <v/>
      </c>
      <c r="M18" s="18">
        <f>IF(M11=0,"",M17/M11)</f>
        <v/>
      </c>
      <c r="N18" s="18">
        <f>IF(N11=0,"",N17/N11)</f>
        <v/>
      </c>
      <c r="O18" s="18">
        <f>IF(O11=0,"",O17/O11)</f>
        <v/>
      </c>
    </row>
    <row r="20">
      <c r="A20" s="3" t="inlineStr">
        <is>
          <t>FULFILMENT &amp; CHANNEL COSTS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5" t="inlineStr">
        <is>
          <t>Logistics: forward, reverse, RTO &amp; COD charges, secondary packaging</t>
        </is>
      </c>
      <c r="B21" s="9" t="inlineStr">
        <is>
          <t>Shiprocket / Delhivery / Bluedart invoices for the month excl. GST, plus shipper cartons and fillers. Amazon: FBA fulfilment fee.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4">
        <f>SUM(C21:N21)</f>
        <v/>
      </c>
    </row>
    <row r="22">
      <c r="A22" s="5" t="inlineStr">
        <is>
          <t>Warehousing &amp; operations (rent, staff, packing labour)</t>
        </is>
      </c>
      <c r="B22" s="9" t="inlineStr">
        <is>
          <t>Warehouse rent, warehouse staff, packing consumables for the month. If shared across channels, split by orders.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4">
        <f>SUM(C22:N22)</f>
        <v/>
      </c>
    </row>
    <row r="23">
      <c r="A23" s="15" t="inlineStr">
        <is>
          <t>CONTRIBUTION MARGIN 1 (CM1)</t>
        </is>
      </c>
      <c r="B23" s="16" t="inlineStr">
        <is>
          <t>Formula; do not type here.</t>
        </is>
      </c>
      <c r="C23" s="17">
        <f>C17-C21+0-C22-0-0-0</f>
        <v/>
      </c>
      <c r="D23" s="17">
        <f>D17-D21+0-D22-0-0-0</f>
        <v/>
      </c>
      <c r="E23" s="17">
        <f>E17-E21+0-E22-0-0-0</f>
        <v/>
      </c>
      <c r="F23" s="17">
        <f>F17-F21+0-F22-0-0-0</f>
        <v/>
      </c>
      <c r="G23" s="17">
        <f>G17-G21+0-G22-0-0-0</f>
        <v/>
      </c>
      <c r="H23" s="17">
        <f>H17-H21+0-H22-0-0-0</f>
        <v/>
      </c>
      <c r="I23" s="17">
        <f>I17-I21+0-I22-0-0-0</f>
        <v/>
      </c>
      <c r="J23" s="17">
        <f>J17-J21+0-J22-0-0-0</f>
        <v/>
      </c>
      <c r="K23" s="17">
        <f>K17-K21+0-K22-0-0-0</f>
        <v/>
      </c>
      <c r="L23" s="17">
        <f>L17-L21+0-L22-0-0-0</f>
        <v/>
      </c>
      <c r="M23" s="17">
        <f>M17-M21+0-M22-0-0-0</f>
        <v/>
      </c>
      <c r="N23" s="17">
        <f>N17-N21+0-N22-0-0-0</f>
        <v/>
      </c>
      <c r="O23" s="17">
        <f>SUM(C23:N23)</f>
        <v/>
      </c>
    </row>
    <row r="24">
      <c r="A24" s="5" t="inlineStr">
        <is>
          <t>CM1 %</t>
        </is>
      </c>
      <c r="B24" s="2" t="inlineStr">
        <is>
          <t>Ratio; do not type here.</t>
        </is>
      </c>
      <c r="C24" s="18">
        <f>IF(C11=0,"",C23/C11)</f>
        <v/>
      </c>
      <c r="D24" s="18">
        <f>IF(D11=0,"",D23/D11)</f>
        <v/>
      </c>
      <c r="E24" s="18">
        <f>IF(E11=0,"",E23/E11)</f>
        <v/>
      </c>
      <c r="F24" s="18">
        <f>IF(F11=0,"",F23/F11)</f>
        <v/>
      </c>
      <c r="G24" s="18">
        <f>IF(G11=0,"",G23/G11)</f>
        <v/>
      </c>
      <c r="H24" s="18">
        <f>IF(H11=0,"",H23/H11)</f>
        <v/>
      </c>
      <c r="I24" s="18">
        <f>IF(I11=0,"",I23/I11)</f>
        <v/>
      </c>
      <c r="J24" s="18">
        <f>IF(J11=0,"",J23/J11)</f>
        <v/>
      </c>
      <c r="K24" s="18">
        <f>IF(K11=0,"",K23/K11)</f>
        <v/>
      </c>
      <c r="L24" s="18">
        <f>IF(L11=0,"",L23/L11)</f>
        <v/>
      </c>
      <c r="M24" s="18">
        <f>IF(M11=0,"",M23/M11)</f>
        <v/>
      </c>
      <c r="N24" s="18">
        <f>IF(N11=0,"",N23/N11)</f>
        <v/>
      </c>
      <c r="O24" s="18">
        <f>IF(O11=0,"",O23/O11)</f>
        <v/>
      </c>
    </row>
    <row r="26">
      <c r="A26" s="3" t="inlineStr">
        <is>
          <t>MARKETING &amp; SELLING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5" t="inlineStr">
        <is>
          <t>Quick-commerce ads (sponsored listings)</t>
        </is>
      </c>
      <c r="B27" s="9" t="inlineStr">
        <is>
          <t>Blinkit / Zepto / Instamart brand dashboard › Ads › spend excluding GST.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4">
        <f>SUM(C27:N27)</f>
        <v/>
      </c>
    </row>
    <row r="28">
      <c r="A28" s="15" t="inlineStr">
        <is>
          <t>CONTRIBUTION MARGIN 2 (CM2)</t>
        </is>
      </c>
      <c r="B28" s="16" t="inlineStr">
        <is>
          <t>Formula; do not type here.</t>
        </is>
      </c>
      <c r="C28" s="17">
        <f>C23-C27-0-0-0</f>
        <v/>
      </c>
      <c r="D28" s="17">
        <f>D23-D27-0-0-0</f>
        <v/>
      </c>
      <c r="E28" s="17">
        <f>E23-E27-0-0-0</f>
        <v/>
      </c>
      <c r="F28" s="17">
        <f>F23-F27-0-0-0</f>
        <v/>
      </c>
      <c r="G28" s="17">
        <f>G23-G27-0-0-0</f>
        <v/>
      </c>
      <c r="H28" s="17">
        <f>H23-H27-0-0-0</f>
        <v/>
      </c>
      <c r="I28" s="17">
        <f>I23-I27-0-0-0</f>
        <v/>
      </c>
      <c r="J28" s="17">
        <f>J23-J27-0-0-0</f>
        <v/>
      </c>
      <c r="K28" s="17">
        <f>K23-K27-0-0-0</f>
        <v/>
      </c>
      <c r="L28" s="17">
        <f>L23-L27-0-0-0</f>
        <v/>
      </c>
      <c r="M28" s="17">
        <f>M23-M27-0-0-0</f>
        <v/>
      </c>
      <c r="N28" s="17">
        <f>N23-N27-0-0-0</f>
        <v/>
      </c>
      <c r="O28" s="17">
        <f>SUM(C28:N28)</f>
        <v/>
      </c>
    </row>
    <row r="29">
      <c r="A29" s="5" t="inlineStr">
        <is>
          <t>CM2 %</t>
        </is>
      </c>
      <c r="B29" s="2" t="inlineStr">
        <is>
          <t>Ratio; do not type here.</t>
        </is>
      </c>
      <c r="C29" s="18">
        <f>IF(C11=0,"",C28/C11)</f>
        <v/>
      </c>
      <c r="D29" s="18">
        <f>IF(D11=0,"",D28/D11)</f>
        <v/>
      </c>
      <c r="E29" s="18">
        <f>IF(E11=0,"",E28/E11)</f>
        <v/>
      </c>
      <c r="F29" s="18">
        <f>IF(F11=0,"",F28/F11)</f>
        <v/>
      </c>
      <c r="G29" s="18">
        <f>IF(G11=0,"",G28/G11)</f>
        <v/>
      </c>
      <c r="H29" s="18">
        <f>IF(H11=0,"",H28/H11)</f>
        <v/>
      </c>
      <c r="I29" s="18">
        <f>IF(I11=0,"",I28/I11)</f>
        <v/>
      </c>
      <c r="J29" s="18">
        <f>IF(J11=0,"",J28/J11)</f>
        <v/>
      </c>
      <c r="K29" s="18">
        <f>IF(K11=0,"",K28/K11)</f>
        <v/>
      </c>
      <c r="L29" s="18">
        <f>IF(L11=0,"",L28/L11)</f>
        <v/>
      </c>
      <c r="M29" s="18">
        <f>IF(M11=0,"",M28/M11)</f>
        <v/>
      </c>
      <c r="N29" s="18">
        <f>IF(N11=0,"",N28/N11)</f>
        <v/>
      </c>
      <c r="O29" s="18">
        <f>IF(O11=0,"",O28/O11)</f>
        <v/>
      </c>
    </row>
    <row r="31">
      <c r="A31" s="3" t="inlineStr">
        <is>
          <t>MEMO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</row>
    <row r="32">
      <c r="A32" s="5" t="inlineStr">
        <is>
          <t>Orders shipped (count)</t>
        </is>
      </c>
      <c r="B32" s="9" t="inlineStr">
        <is>
          <t>Shopify › Orders (fulfilled) or marketplace › Orders shipped. Offline / Qcom: units or cases invoiced.</t>
        </is>
      </c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2">
        <f>SUM(C32:N32)</f>
        <v/>
      </c>
    </row>
    <row r="33">
      <c r="A33" s="5" t="inlineStr">
        <is>
          <t>Average order value incl. GST</t>
        </is>
      </c>
      <c r="B33" s="2" t="inlineStr">
        <is>
          <t>Formula; do not type here.</t>
        </is>
      </c>
      <c r="C33" s="14">
        <f>IF(C32=0,"",C5/C32)</f>
        <v/>
      </c>
      <c r="D33" s="14">
        <f>IF(D32=0,"",D5/D32)</f>
        <v/>
      </c>
      <c r="E33" s="14">
        <f>IF(E32=0,"",E5/E32)</f>
        <v/>
      </c>
      <c r="F33" s="14">
        <f>IF(F32=0,"",F5/F32)</f>
        <v/>
      </c>
      <c r="G33" s="14">
        <f>IF(G32=0,"",G5/G32)</f>
        <v/>
      </c>
      <c r="H33" s="14">
        <f>IF(H32=0,"",H5/H32)</f>
        <v/>
      </c>
      <c r="I33" s="14">
        <f>IF(I32=0,"",I5/I32)</f>
        <v/>
      </c>
      <c r="J33" s="14">
        <f>IF(J32=0,"",J5/J32)</f>
        <v/>
      </c>
      <c r="K33" s="14">
        <f>IF(K32=0,"",K5/K32)</f>
        <v/>
      </c>
      <c r="L33" s="14">
        <f>IF(L32=0,"",L5/L32)</f>
        <v/>
      </c>
      <c r="M33" s="14">
        <f>IF(M32=0,"",M5/M32)</f>
        <v/>
      </c>
      <c r="N33" s="14">
        <f>IF(N32=0,"",N5/N32)</f>
        <v/>
      </c>
      <c r="O33" s="14">
        <f>IF(O32=0,"",O5/O32)</f>
        <v/>
      </c>
    </row>
    <row r="34">
      <c r="A34" s="5" t="inlineStr">
        <is>
          <t>RoAS (net sales ÷ marketing)</t>
        </is>
      </c>
      <c r="B34" s="2" t="inlineStr">
        <is>
          <t>Formula; do not type here.</t>
        </is>
      </c>
      <c r="C34" s="20">
        <f>IF(C27=0,"",C11/C27)</f>
        <v/>
      </c>
      <c r="D34" s="20">
        <f>IF(D27=0,"",D11/D27)</f>
        <v/>
      </c>
      <c r="E34" s="20">
        <f>IF(E27=0,"",E11/E27)</f>
        <v/>
      </c>
      <c r="F34" s="20">
        <f>IF(F27=0,"",F11/F27)</f>
        <v/>
      </c>
      <c r="G34" s="20">
        <f>IF(G27=0,"",G11/G27)</f>
        <v/>
      </c>
      <c r="H34" s="20">
        <f>IF(H27=0,"",H11/H27)</f>
        <v/>
      </c>
      <c r="I34" s="20">
        <f>IF(I27=0,"",I11/I27)</f>
        <v/>
      </c>
      <c r="J34" s="20">
        <f>IF(J27=0,"",J11/J27)</f>
        <v/>
      </c>
      <c r="K34" s="20">
        <f>IF(K27=0,"",K11/K27)</f>
        <v/>
      </c>
      <c r="L34" s="20">
        <f>IF(L27=0,"",L11/L27)</f>
        <v/>
      </c>
      <c r="M34" s="20">
        <f>IF(M27=0,"",M11/M27)</f>
        <v/>
      </c>
      <c r="N34" s="20">
        <f>IF(N27=0,"",N11/N27)</f>
        <v/>
      </c>
      <c r="O34" s="20">
        <f>IF(O27=0,"",O11/O27)</f>
        <v/>
      </c>
    </row>
    <row r="35">
      <c r="A35" s="5" t="inlineStr">
        <is>
          <t>Returns &amp; RTO % of GMV</t>
        </is>
      </c>
      <c r="B35" s="2" t="inlineStr">
        <is>
          <t>Ratio; do not type here.</t>
        </is>
      </c>
      <c r="C35" s="18">
        <f>IF(C5=0,"",(C8+0+0+0)/C5)</f>
        <v/>
      </c>
      <c r="D35" s="18">
        <f>IF(D5=0,"",(D8+0+0+0)/D5)</f>
        <v/>
      </c>
      <c r="E35" s="18">
        <f>IF(E5=0,"",(E8+0+0+0)/E5)</f>
        <v/>
      </c>
      <c r="F35" s="18">
        <f>IF(F5=0,"",(F8+0+0+0)/F5)</f>
        <v/>
      </c>
      <c r="G35" s="18">
        <f>IF(G5=0,"",(G8+0+0+0)/G5)</f>
        <v/>
      </c>
      <c r="H35" s="18">
        <f>IF(H5=0,"",(H8+0+0+0)/H5)</f>
        <v/>
      </c>
      <c r="I35" s="18">
        <f>IF(I5=0,"",(I8+0+0+0)/I5)</f>
        <v/>
      </c>
      <c r="J35" s="18">
        <f>IF(J5=0,"",(J8+0+0+0)/J5)</f>
        <v/>
      </c>
      <c r="K35" s="18">
        <f>IF(K5=0,"",(K8+0+0+0)/K5)</f>
        <v/>
      </c>
      <c r="L35" s="18">
        <f>IF(L5=0,"",(L8+0+0+0)/L5)</f>
        <v/>
      </c>
      <c r="M35" s="18">
        <f>IF(M5=0,"",(M8+0+0+0)/M5)</f>
        <v/>
      </c>
      <c r="N35" s="18">
        <f>IF(N5=0,"",(N8+0+0+0)/N5)</f>
        <v/>
      </c>
      <c r="O35" s="18">
        <f>IF(O5=0,"",(O8+0+0+0)/O5)</f>
        <v/>
      </c>
    </row>
    <row r="36">
      <c r="A36" s="5" t="inlineStr">
        <is>
          <t>Discounts % of GMV</t>
        </is>
      </c>
      <c r="B36" s="2" t="inlineStr">
        <is>
          <t>Ratio; do not type here.</t>
        </is>
      </c>
      <c r="C36" s="18">
        <f>IF(C5=0,"",C6/C5)</f>
        <v/>
      </c>
      <c r="D36" s="18">
        <f>IF(D5=0,"",D6/D5)</f>
        <v/>
      </c>
      <c r="E36" s="18">
        <f>IF(E5=0,"",E6/E5)</f>
        <v/>
      </c>
      <c r="F36" s="18">
        <f>IF(F5=0,"",F6/F5)</f>
        <v/>
      </c>
      <c r="G36" s="18">
        <f>IF(G5=0,"",G6/G5)</f>
        <v/>
      </c>
      <c r="H36" s="18">
        <f>IF(H5=0,"",H6/H5)</f>
        <v/>
      </c>
      <c r="I36" s="18">
        <f>IF(I5=0,"",I6/I5)</f>
        <v/>
      </c>
      <c r="J36" s="18">
        <f>IF(J5=0,"",J6/J5)</f>
        <v/>
      </c>
      <c r="K36" s="18">
        <f>IF(K5=0,"",K6/K5)</f>
        <v/>
      </c>
      <c r="L36" s="18">
        <f>IF(L5=0,"",L6/L5)</f>
        <v/>
      </c>
      <c r="M36" s="18">
        <f>IF(M5=0,"",M6/M5)</f>
        <v/>
      </c>
      <c r="N36" s="18">
        <f>IF(N5=0,"",N6/N5)</f>
        <v/>
      </c>
      <c r="O36" s="18">
        <f>IF(O5=0,"",O6/O5)</f>
        <v/>
      </c>
    </row>
    <row r="37">
      <c r="A37" s="5" t="inlineStr">
        <is>
          <t>Marketing % of net sales</t>
        </is>
      </c>
      <c r="B37" s="2" t="inlineStr">
        <is>
          <t>Ratio; do not type here.</t>
        </is>
      </c>
      <c r="C37" s="18">
        <f>IF(C11=0,"",(C27+0)/C11)</f>
        <v/>
      </c>
      <c r="D37" s="18">
        <f>IF(D11=0,"",(D27+0)/D11)</f>
        <v/>
      </c>
      <c r="E37" s="18">
        <f>IF(E11=0,"",(E27+0)/E11)</f>
        <v/>
      </c>
      <c r="F37" s="18">
        <f>IF(F11=0,"",(F27+0)/F11)</f>
        <v/>
      </c>
      <c r="G37" s="18">
        <f>IF(G11=0,"",(G27+0)/G11)</f>
        <v/>
      </c>
      <c r="H37" s="18">
        <f>IF(H11=0,"",(H27+0)/H11)</f>
        <v/>
      </c>
      <c r="I37" s="18">
        <f>IF(I11=0,"",(I27+0)/I11)</f>
        <v/>
      </c>
      <c r="J37" s="18">
        <f>IF(J11=0,"",(J27+0)/J11)</f>
        <v/>
      </c>
      <c r="K37" s="18">
        <f>IF(K11=0,"",(K27+0)/K11)</f>
        <v/>
      </c>
      <c r="L37" s="18">
        <f>IF(L11=0,"",(L27+0)/L11)</f>
        <v/>
      </c>
      <c r="M37" s="18">
        <f>IF(M11=0,"",(M27+0)/M11)</f>
        <v/>
      </c>
      <c r="N37" s="18">
        <f>IF(N11=0,"",(N27+0)/N11)</f>
        <v/>
      </c>
      <c r="O37" s="18">
        <f>IF(O11=0,"",(O27+0)/O11)</f>
        <v/>
      </c>
    </row>
    <row r="38">
      <c r="A38" s="5" t="inlineStr">
        <is>
          <t>Logistics % of net sales</t>
        </is>
      </c>
      <c r="B38" s="2" t="inlineStr">
        <is>
          <t>Ratio; do not type here.</t>
        </is>
      </c>
      <c r="C38" s="18">
        <f>IF(C11=0,"",(C21-0+C22)/C11)</f>
        <v/>
      </c>
      <c r="D38" s="18">
        <f>IF(D11=0,"",(D21-0+D22)/D11)</f>
        <v/>
      </c>
      <c r="E38" s="18">
        <f>IF(E11=0,"",(E21-0+E22)/E11)</f>
        <v/>
      </c>
      <c r="F38" s="18">
        <f>IF(F11=0,"",(F21-0+F22)/F11)</f>
        <v/>
      </c>
      <c r="G38" s="18">
        <f>IF(G11=0,"",(G21-0+G22)/G11)</f>
        <v/>
      </c>
      <c r="H38" s="18">
        <f>IF(H11=0,"",(H21-0+H22)/H11)</f>
        <v/>
      </c>
      <c r="I38" s="18">
        <f>IF(I11=0,"",(I21-0+I22)/I11)</f>
        <v/>
      </c>
      <c r="J38" s="18">
        <f>IF(J11=0,"",(J21-0+J22)/J11)</f>
        <v/>
      </c>
      <c r="K38" s="18">
        <f>IF(K11=0,"",(K21-0+K22)/K11)</f>
        <v/>
      </c>
      <c r="L38" s="18">
        <f>IF(L11=0,"",(L21-0+L22)/L11)</f>
        <v/>
      </c>
      <c r="M38" s="18">
        <f>IF(M11=0,"",(M21-0+M22)/M11)</f>
        <v/>
      </c>
      <c r="N38" s="18">
        <f>IF(N11=0,"",(N21-0+N22)/N11)</f>
        <v/>
      </c>
      <c r="O38" s="18">
        <f>IF(O11=0,"",(O21-0+O22)/O11)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My Brand — Cash &amp; Working Capital</t>
        </is>
      </c>
    </row>
    <row r="2">
      <c r="A2" s="2" t="inlineStr">
        <is>
          <t>Closing balances at month end and the cash roll-forward. INR lakh. Closing cash should match your bank statement.</t>
        </is>
      </c>
    </row>
    <row r="3">
      <c r="A3" s="10" t="inlineStr">
        <is>
          <t>Line item</t>
        </is>
      </c>
      <c r="B3" s="10" t="inlineStr">
        <is>
          <t>Where to find it / how to fill</t>
        </is>
      </c>
      <c r="C3" s="11" t="inlineStr">
        <is>
          <t>Apr-26</t>
        </is>
      </c>
      <c r="D3" s="11" t="inlineStr">
        <is>
          <t>May-26</t>
        </is>
      </c>
      <c r="E3" s="11" t="inlineStr">
        <is>
          <t>Jun-26</t>
        </is>
      </c>
      <c r="F3" s="11" t="inlineStr">
        <is>
          <t>Jul-26</t>
        </is>
      </c>
      <c r="G3" s="11" t="inlineStr">
        <is>
          <t>Aug-26</t>
        </is>
      </c>
      <c r="H3" s="11" t="inlineStr">
        <is>
          <t>Sep-26</t>
        </is>
      </c>
      <c r="I3" s="11" t="inlineStr">
        <is>
          <t>Oct-26</t>
        </is>
      </c>
      <c r="J3" s="11" t="inlineStr">
        <is>
          <t>Nov-26</t>
        </is>
      </c>
      <c r="K3" s="11" t="inlineStr">
        <is>
          <t>Dec-26</t>
        </is>
      </c>
      <c r="L3" s="11" t="inlineStr">
        <is>
          <t>Jan-27</t>
        </is>
      </c>
      <c r="M3" s="11" t="inlineStr">
        <is>
          <t>Feb-27</t>
        </is>
      </c>
      <c r="N3" s="11" t="inlineStr">
        <is>
          <t>Mar-27</t>
        </is>
      </c>
      <c r="O3" s="11" t="inlineStr">
        <is>
          <t>Total / Avg</t>
        </is>
      </c>
    </row>
    <row r="4">
      <c r="A4" s="3" t="inlineStr">
        <is>
          <t>WORKING CAPITAL (closing balances at month end)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5" t="inlineStr">
        <is>
          <t>Inventory at cost (finished goods + raw &amp; packing material + goods in transit)</t>
        </is>
      </c>
      <c r="B5" s="9" t="inlineStr">
        <is>
          <t>Stock count or inventory system at month end, valued at cost. Include stock at 3PLs, Amazon FBA, Qcom dark stores that is still yours.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4">
        <f>N5</f>
        <v/>
      </c>
    </row>
    <row r="6">
      <c r="A6" s="5" t="inlineStr">
        <is>
          <t>Receivables (money owed to you by platforms, partners, retailers)</t>
        </is>
      </c>
      <c r="B6" s="9" t="inlineStr">
        <is>
          <t>Unsettled marketplace payouts + Qcom / B2B / distributor invoices unpaid + COD remittances pending from couriers.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4">
        <f>N6</f>
        <v/>
      </c>
    </row>
    <row r="7">
      <c r="A7" s="5" t="inlineStr">
        <is>
          <t>Payables (money you owe suppliers, agencies, platforms)</t>
        </is>
      </c>
      <c r="B7" s="9" t="inlineStr">
        <is>
          <t>Unpaid supplier, manufacturer, courier, agency and ad-platform invoices at month end.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4">
        <f>N7</f>
        <v/>
      </c>
    </row>
    <row r="8">
      <c r="A8" s="15" t="inlineStr">
        <is>
          <t>NET WORKING CAPITAL</t>
        </is>
      </c>
      <c r="B8" s="16" t="inlineStr">
        <is>
          <t>Formula; do not type here.</t>
        </is>
      </c>
      <c r="C8" s="17">
        <f>C5+C6-C7</f>
        <v/>
      </c>
      <c r="D8" s="17">
        <f>D5+D6-D7</f>
        <v/>
      </c>
      <c r="E8" s="17">
        <f>E5+E6-E7</f>
        <v/>
      </c>
      <c r="F8" s="17">
        <f>F5+F6-F7</f>
        <v/>
      </c>
      <c r="G8" s="17">
        <f>G5+G6-G7</f>
        <v/>
      </c>
      <c r="H8" s="17">
        <f>H5+H6-H7</f>
        <v/>
      </c>
      <c r="I8" s="17">
        <f>I5+I6-I7</f>
        <v/>
      </c>
      <c r="J8" s="17">
        <f>J5+J6-J7</f>
        <v/>
      </c>
      <c r="K8" s="17">
        <f>K5+K6-K7</f>
        <v/>
      </c>
      <c r="L8" s="17">
        <f>L5+L6-L7</f>
        <v/>
      </c>
      <c r="M8" s="17">
        <f>M5+M6-M7</f>
        <v/>
      </c>
      <c r="N8" s="17">
        <f>N5+N6-N7</f>
        <v/>
      </c>
      <c r="O8" s="17">
        <f>N8</f>
        <v/>
      </c>
    </row>
    <row r="9">
      <c r="A9" s="5" t="inlineStr">
        <is>
          <t>Inventory days (on COGS)</t>
        </is>
      </c>
      <c r="B9" s="2" t="inlineStr">
        <is>
          <t>Formula; do not type here.</t>
        </is>
      </c>
      <c r="C9" s="23">
        <f>IF('Consolidated P&amp;L'!C16=0,"",C5/'Consolidated P&amp;L'!C16*30)</f>
        <v/>
      </c>
      <c r="D9" s="23">
        <f>IF('Consolidated P&amp;L'!D16=0,"",D5/'Consolidated P&amp;L'!D16*30)</f>
        <v/>
      </c>
      <c r="E9" s="23">
        <f>IF('Consolidated P&amp;L'!E16=0,"",E5/'Consolidated P&amp;L'!E16*30)</f>
        <v/>
      </c>
      <c r="F9" s="23">
        <f>IF('Consolidated P&amp;L'!F16=0,"",F5/'Consolidated P&amp;L'!F16*30)</f>
        <v/>
      </c>
      <c r="G9" s="23">
        <f>IF('Consolidated P&amp;L'!G16=0,"",G5/'Consolidated P&amp;L'!G16*30)</f>
        <v/>
      </c>
      <c r="H9" s="23">
        <f>IF('Consolidated P&amp;L'!H16=0,"",H5/'Consolidated P&amp;L'!H16*30)</f>
        <v/>
      </c>
      <c r="I9" s="23">
        <f>IF('Consolidated P&amp;L'!I16=0,"",I5/'Consolidated P&amp;L'!I16*30)</f>
        <v/>
      </c>
      <c r="J9" s="23">
        <f>IF('Consolidated P&amp;L'!J16=0,"",J5/'Consolidated P&amp;L'!J16*30)</f>
        <v/>
      </c>
      <c r="K9" s="23">
        <f>IF('Consolidated P&amp;L'!K16=0,"",K5/'Consolidated P&amp;L'!K16*30)</f>
        <v/>
      </c>
      <c r="L9" s="23">
        <f>IF('Consolidated P&amp;L'!L16=0,"",L5/'Consolidated P&amp;L'!L16*30)</f>
        <v/>
      </c>
      <c r="M9" s="23">
        <f>IF('Consolidated P&amp;L'!M16=0,"",M5/'Consolidated P&amp;L'!M16*30)</f>
        <v/>
      </c>
      <c r="N9" s="23">
        <f>IF('Consolidated P&amp;L'!N16=0,"",N5/'Consolidated P&amp;L'!N16*30)</f>
        <v/>
      </c>
      <c r="O9" s="23">
        <f>N9</f>
        <v/>
      </c>
    </row>
    <row r="10">
      <c r="A10" s="5" t="inlineStr">
        <is>
          <t>Receivable days (on net sales)</t>
        </is>
      </c>
      <c r="B10" s="2" t="inlineStr">
        <is>
          <t>Formula; do not type here.</t>
        </is>
      </c>
      <c r="C10" s="23">
        <f>IF('Consolidated P&amp;L'!C11=0,"",C6/'Consolidated P&amp;L'!C11*30)</f>
        <v/>
      </c>
      <c r="D10" s="23">
        <f>IF('Consolidated P&amp;L'!D11=0,"",D6/'Consolidated P&amp;L'!D11*30)</f>
        <v/>
      </c>
      <c r="E10" s="23">
        <f>IF('Consolidated P&amp;L'!E11=0,"",E6/'Consolidated P&amp;L'!E11*30)</f>
        <v/>
      </c>
      <c r="F10" s="23">
        <f>IF('Consolidated P&amp;L'!F11=0,"",F6/'Consolidated P&amp;L'!F11*30)</f>
        <v/>
      </c>
      <c r="G10" s="23">
        <f>IF('Consolidated P&amp;L'!G11=0,"",G6/'Consolidated P&amp;L'!G11*30)</f>
        <v/>
      </c>
      <c r="H10" s="23">
        <f>IF('Consolidated P&amp;L'!H11=0,"",H6/'Consolidated P&amp;L'!H11*30)</f>
        <v/>
      </c>
      <c r="I10" s="23">
        <f>IF('Consolidated P&amp;L'!I11=0,"",I6/'Consolidated P&amp;L'!I11*30)</f>
        <v/>
      </c>
      <c r="J10" s="23">
        <f>IF('Consolidated P&amp;L'!J11=0,"",J6/'Consolidated P&amp;L'!J11*30)</f>
        <v/>
      </c>
      <c r="K10" s="23">
        <f>IF('Consolidated P&amp;L'!K11=0,"",K6/'Consolidated P&amp;L'!K11*30)</f>
        <v/>
      </c>
      <c r="L10" s="23">
        <f>IF('Consolidated P&amp;L'!L11=0,"",L6/'Consolidated P&amp;L'!L11*30)</f>
        <v/>
      </c>
      <c r="M10" s="23">
        <f>IF('Consolidated P&amp;L'!M11=0,"",M6/'Consolidated P&amp;L'!M11*30)</f>
        <v/>
      </c>
      <c r="N10" s="23">
        <f>IF('Consolidated P&amp;L'!N11=0,"",N6/'Consolidated P&amp;L'!N11*30)</f>
        <v/>
      </c>
      <c r="O10" s="23">
        <f>N10</f>
        <v/>
      </c>
    </row>
    <row r="11">
      <c r="A11" s="5" t="inlineStr">
        <is>
          <t>Payable days (on COGS)</t>
        </is>
      </c>
      <c r="B11" s="2" t="inlineStr">
        <is>
          <t>Formula; do not type here.</t>
        </is>
      </c>
      <c r="C11" s="23">
        <f>IF('Consolidated P&amp;L'!C16=0,"",C7/'Consolidated P&amp;L'!C16*30)</f>
        <v/>
      </c>
      <c r="D11" s="23">
        <f>IF('Consolidated P&amp;L'!D16=0,"",D7/'Consolidated P&amp;L'!D16*30)</f>
        <v/>
      </c>
      <c r="E11" s="23">
        <f>IF('Consolidated P&amp;L'!E16=0,"",E7/'Consolidated P&amp;L'!E16*30)</f>
        <v/>
      </c>
      <c r="F11" s="23">
        <f>IF('Consolidated P&amp;L'!F16=0,"",F7/'Consolidated P&amp;L'!F16*30)</f>
        <v/>
      </c>
      <c r="G11" s="23">
        <f>IF('Consolidated P&amp;L'!G16=0,"",G7/'Consolidated P&amp;L'!G16*30)</f>
        <v/>
      </c>
      <c r="H11" s="23">
        <f>IF('Consolidated P&amp;L'!H16=0,"",H7/'Consolidated P&amp;L'!H16*30)</f>
        <v/>
      </c>
      <c r="I11" s="23">
        <f>IF('Consolidated P&amp;L'!I16=0,"",I7/'Consolidated P&amp;L'!I16*30)</f>
        <v/>
      </c>
      <c r="J11" s="23">
        <f>IF('Consolidated P&amp;L'!J16=0,"",J7/'Consolidated P&amp;L'!J16*30)</f>
        <v/>
      </c>
      <c r="K11" s="23">
        <f>IF('Consolidated P&amp;L'!K16=0,"",K7/'Consolidated P&amp;L'!K16*30)</f>
        <v/>
      </c>
      <c r="L11" s="23">
        <f>IF('Consolidated P&amp;L'!L16=0,"",L7/'Consolidated P&amp;L'!L16*30)</f>
        <v/>
      </c>
      <c r="M11" s="23">
        <f>IF('Consolidated P&amp;L'!M16=0,"",M7/'Consolidated P&amp;L'!M16*30)</f>
        <v/>
      </c>
      <c r="N11" s="23">
        <f>IF('Consolidated P&amp;L'!N16=0,"",N7/'Consolidated P&amp;L'!N16*30)</f>
        <v/>
      </c>
      <c r="O11" s="23">
        <f>N11</f>
        <v/>
      </c>
    </row>
    <row r="12">
      <c r="A12" s="5" t="inlineStr">
        <is>
          <t>Cash conversion cycle (days)</t>
        </is>
      </c>
      <c r="B12" s="2" t="inlineStr">
        <is>
          <t>Formula; do not type here.</t>
        </is>
      </c>
      <c r="C12" s="23">
        <f>C9+C10-C11</f>
        <v/>
      </c>
      <c r="D12" s="23">
        <f>D9+D10-D11</f>
        <v/>
      </c>
      <c r="E12" s="23">
        <f>E9+E10-E11</f>
        <v/>
      </c>
      <c r="F12" s="23">
        <f>F9+F10-F11</f>
        <v/>
      </c>
      <c r="G12" s="23">
        <f>G9+G10-G11</f>
        <v/>
      </c>
      <c r="H12" s="23">
        <f>H9+H10-H11</f>
        <v/>
      </c>
      <c r="I12" s="23">
        <f>I9+I10-I11</f>
        <v/>
      </c>
      <c r="J12" s="23">
        <f>J9+J10-J11</f>
        <v/>
      </c>
      <c r="K12" s="23">
        <f>K9+K10-K11</f>
        <v/>
      </c>
      <c r="L12" s="23">
        <f>L9+L10-L11</f>
        <v/>
      </c>
      <c r="M12" s="23">
        <f>M9+M10-M11</f>
        <v/>
      </c>
      <c r="N12" s="23">
        <f>N9+N10-N11</f>
        <v/>
      </c>
      <c r="O12" s="23">
        <f>N12</f>
        <v/>
      </c>
    </row>
    <row r="14">
      <c r="A14" s="3" t="inlineStr">
        <is>
          <t>CASH FLOW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5" t="inlineStr">
        <is>
          <t>Opening cash (bank + wallets + FDs)</t>
        </is>
      </c>
      <c r="B15" s="9" t="inlineStr">
        <is>
          <t>Bank balances on the 1st. Only the first month is typed; later months roll forward.</t>
        </is>
      </c>
      <c r="C15" s="19" t="n"/>
      <c r="D15" s="14">
        <f>C24</f>
        <v/>
      </c>
      <c r="E15" s="14">
        <f>D24</f>
        <v/>
      </c>
      <c r="F15" s="14">
        <f>E24</f>
        <v/>
      </c>
      <c r="G15" s="14">
        <f>F24</f>
        <v/>
      </c>
      <c r="H15" s="14">
        <f>G24</f>
        <v/>
      </c>
      <c r="I15" s="14">
        <f>H24</f>
        <v/>
      </c>
      <c r="J15" s="14">
        <f>I24</f>
        <v/>
      </c>
      <c r="K15" s="14">
        <f>J24</f>
        <v/>
      </c>
      <c r="L15" s="14">
        <f>K24</f>
        <v/>
      </c>
      <c r="M15" s="14">
        <f>L24</f>
        <v/>
      </c>
      <c r="N15" s="14">
        <f>M24</f>
        <v/>
      </c>
      <c r="O15" s="14">
        <f>N15</f>
        <v/>
      </c>
    </row>
    <row r="16">
      <c r="A16" s="5" t="inlineStr">
        <is>
          <t>Reported EBITDA (from Consolidated P&amp;L)</t>
        </is>
      </c>
      <c r="B16" s="2" t="inlineStr">
        <is>
          <t>Linked from another tab; do not type here.</t>
        </is>
      </c>
      <c r="C16" s="13">
        <f>'Consolidated P&amp;L'!C46</f>
        <v/>
      </c>
      <c r="D16" s="13">
        <f>'Consolidated P&amp;L'!D46</f>
        <v/>
      </c>
      <c r="E16" s="13">
        <f>'Consolidated P&amp;L'!E46</f>
        <v/>
      </c>
      <c r="F16" s="13">
        <f>'Consolidated P&amp;L'!F46</f>
        <v/>
      </c>
      <c r="G16" s="13">
        <f>'Consolidated P&amp;L'!G46</f>
        <v/>
      </c>
      <c r="H16" s="13">
        <f>'Consolidated P&amp;L'!H46</f>
        <v/>
      </c>
      <c r="I16" s="13">
        <f>'Consolidated P&amp;L'!I46</f>
        <v/>
      </c>
      <c r="J16" s="13">
        <f>'Consolidated P&amp;L'!J46</f>
        <v/>
      </c>
      <c r="K16" s="13">
        <f>'Consolidated P&amp;L'!K46</f>
        <v/>
      </c>
      <c r="L16" s="13">
        <f>'Consolidated P&amp;L'!L46</f>
        <v/>
      </c>
      <c r="M16" s="13">
        <f>'Consolidated P&amp;L'!M46</f>
        <v/>
      </c>
      <c r="N16" s="13">
        <f>'Consolidated P&amp;L'!N46</f>
        <v/>
      </c>
      <c r="O16" s="14">
        <f>SUM(C16:N16)</f>
        <v/>
      </c>
    </row>
    <row r="17">
      <c r="A17" s="5" t="inlineStr">
        <is>
          <t>Less: increase in working capital</t>
        </is>
      </c>
      <c r="B17" s="2" t="inlineStr">
        <is>
          <t>First month is 0 (no prior balance). Later months = this month's NWC less last month's.</t>
        </is>
      </c>
      <c r="C17" s="14" t="n">
        <v>0</v>
      </c>
      <c r="D17" s="14">
        <f>D8-C8</f>
        <v/>
      </c>
      <c r="E17" s="14">
        <f>E8-D8</f>
        <v/>
      </c>
      <c r="F17" s="14">
        <f>F8-E8</f>
        <v/>
      </c>
      <c r="G17" s="14">
        <f>G8-F8</f>
        <v/>
      </c>
      <c r="H17" s="14">
        <f>H8-G8</f>
        <v/>
      </c>
      <c r="I17" s="14">
        <f>I8-H8</f>
        <v/>
      </c>
      <c r="J17" s="14">
        <f>J8-I8</f>
        <v/>
      </c>
      <c r="K17" s="14">
        <f>K8-J8</f>
        <v/>
      </c>
      <c r="L17" s="14">
        <f>L8-K8</f>
        <v/>
      </c>
      <c r="M17" s="14">
        <f>M8-L8</f>
        <v/>
      </c>
      <c r="N17" s="14">
        <f>N8-M8</f>
        <v/>
      </c>
      <c r="O17" s="14">
        <f>SUM(C17:N17)</f>
        <v/>
      </c>
    </row>
    <row r="18">
      <c r="A18" s="5" t="inlineStr">
        <is>
          <t>Less: capex (equipment, moulds, fit-outs, software builds)</t>
        </is>
      </c>
      <c r="B18" s="9" t="inlineStr">
        <is>
          <t>Asset purchases this month.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4">
        <f>SUM(C18:N18)</f>
        <v/>
      </c>
    </row>
    <row r="19">
      <c r="A19" s="5" t="inlineStr">
        <is>
          <t>Less: interest &amp; finance charges (from Consolidated P&amp;L)</t>
        </is>
      </c>
      <c r="B19" s="2" t="inlineStr">
        <is>
          <t>Linked from another tab; do not type here.</t>
        </is>
      </c>
      <c r="C19" s="13">
        <f>'Consolidated P&amp;L'!C50</f>
        <v/>
      </c>
      <c r="D19" s="13">
        <f>'Consolidated P&amp;L'!D50</f>
        <v/>
      </c>
      <c r="E19" s="13">
        <f>'Consolidated P&amp;L'!E50</f>
        <v/>
      </c>
      <c r="F19" s="13">
        <f>'Consolidated P&amp;L'!F50</f>
        <v/>
      </c>
      <c r="G19" s="13">
        <f>'Consolidated P&amp;L'!G50</f>
        <v/>
      </c>
      <c r="H19" s="13">
        <f>'Consolidated P&amp;L'!H50</f>
        <v/>
      </c>
      <c r="I19" s="13">
        <f>'Consolidated P&amp;L'!I50</f>
        <v/>
      </c>
      <c r="J19" s="13">
        <f>'Consolidated P&amp;L'!J50</f>
        <v/>
      </c>
      <c r="K19" s="13">
        <f>'Consolidated P&amp;L'!K50</f>
        <v/>
      </c>
      <c r="L19" s="13">
        <f>'Consolidated P&amp;L'!L50</f>
        <v/>
      </c>
      <c r="M19" s="13">
        <f>'Consolidated P&amp;L'!M50</f>
        <v/>
      </c>
      <c r="N19" s="13">
        <f>'Consolidated P&amp;L'!N50</f>
        <v/>
      </c>
      <c r="O19" s="14">
        <f>SUM(C19:N19)</f>
        <v/>
      </c>
    </row>
    <row r="20">
      <c r="A20" s="5" t="inlineStr">
        <is>
          <t>Less: taxes paid (income tax, net GST paid)</t>
        </is>
      </c>
      <c r="B20" s="9" t="inlineStr">
        <is>
          <t>Advance tax, TDS deposited, net GST cash outflow.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4">
        <f>SUM(C20:N20)</f>
        <v/>
      </c>
    </row>
    <row r="21">
      <c r="A21" s="5" t="inlineStr">
        <is>
          <t>Add: equity raised</t>
        </is>
      </c>
      <c r="B21" s="9" t="inlineStr">
        <is>
          <t>Money received from investors or founders this month.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4">
        <f>SUM(C21:N21)</f>
        <v/>
      </c>
    </row>
    <row r="22">
      <c r="A22" s="5" t="inlineStr">
        <is>
          <t>Add: debt drawn less repaid</t>
        </is>
      </c>
      <c r="B22" s="9" t="inlineStr">
        <is>
          <t>Loans, credit lines, venture debt drawn, net of principal repaid.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4">
        <f>SUM(C22:N22)</f>
        <v/>
      </c>
    </row>
    <row r="23">
      <c r="A23" s="5" t="inlineStr">
        <is>
          <t>Other cash movements</t>
        </is>
      </c>
      <c r="B23" s="9" t="inlineStr">
        <is>
          <t>Anything else: deposits paid, refunds received, corrections.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4">
        <f>SUM(C23:N23)</f>
        <v/>
      </c>
    </row>
    <row r="24">
      <c r="A24" s="15" t="inlineStr">
        <is>
          <t>CLOSING CASH</t>
        </is>
      </c>
      <c r="B24" s="16" t="inlineStr">
        <is>
          <t>Formula; do not type here.</t>
        </is>
      </c>
      <c r="C24" s="17">
        <f>C15+C16-C17-C18-C19-C20+C21+C22+C23</f>
        <v/>
      </c>
      <c r="D24" s="17">
        <f>D15+D16-D17-D18-D19-D20+D21+D22+D23</f>
        <v/>
      </c>
      <c r="E24" s="17">
        <f>E15+E16-E17-E18-E19-E20+E21+E22+E23</f>
        <v/>
      </c>
      <c r="F24" s="17">
        <f>F15+F16-F17-F18-F19-F20+F21+F22+F23</f>
        <v/>
      </c>
      <c r="G24" s="17">
        <f>G15+G16-G17-G18-G19-G20+G21+G22+G23</f>
        <v/>
      </c>
      <c r="H24" s="17">
        <f>H15+H16-H17-H18-H19-H20+H21+H22+H23</f>
        <v/>
      </c>
      <c r="I24" s="17">
        <f>I15+I16-I17-I18-I19-I20+I21+I22+I23</f>
        <v/>
      </c>
      <c r="J24" s="17">
        <f>J15+J16-J17-J18-J19-J20+J21+J22+J23</f>
        <v/>
      </c>
      <c r="K24" s="17">
        <f>K15+K16-K17-K18-K19-K20+K21+K22+K23</f>
        <v/>
      </c>
      <c r="L24" s="17">
        <f>L15+L16-L17-L18-L19-L20+L21+L22+L23</f>
        <v/>
      </c>
      <c r="M24" s="17">
        <f>M15+M16-M17-M18-M19-M20+M21+M22+M23</f>
        <v/>
      </c>
      <c r="N24" s="17">
        <f>N15+N16-N17-N18-N19-N20+N21+N22+N23</f>
        <v/>
      </c>
      <c r="O24" s="17">
        <f>N24</f>
        <v/>
      </c>
    </row>
    <row r="25">
      <c r="A25" s="5" t="inlineStr">
        <is>
          <t>Net burn (negative = cash consumed)</t>
        </is>
      </c>
      <c r="B25" s="2" t="inlineStr">
        <is>
          <t>Formula; do not type here.</t>
        </is>
      </c>
      <c r="C25" s="14">
        <f>C24-C15</f>
        <v/>
      </c>
      <c r="D25" s="14">
        <f>D24-D15</f>
        <v/>
      </c>
      <c r="E25" s="14">
        <f>E24-E15</f>
        <v/>
      </c>
      <c r="F25" s="14">
        <f>F24-F15</f>
        <v/>
      </c>
      <c r="G25" s="14">
        <f>G24-G15</f>
        <v/>
      </c>
      <c r="H25" s="14">
        <f>H24-H15</f>
        <v/>
      </c>
      <c r="I25" s="14">
        <f>I24-I15</f>
        <v/>
      </c>
      <c r="J25" s="14">
        <f>J24-J15</f>
        <v/>
      </c>
      <c r="K25" s="14">
        <f>K24-K15</f>
        <v/>
      </c>
      <c r="L25" s="14">
        <f>L24-L15</f>
        <v/>
      </c>
      <c r="M25" s="14">
        <f>M24-M15</f>
        <v/>
      </c>
      <c r="N25" s="14">
        <f>N24-N15</f>
        <v/>
      </c>
      <c r="O25" s="14">
        <f>SUM(C25:N25)</f>
        <v/>
      </c>
    </row>
    <row r="26">
      <c r="A26" s="5" t="inlineStr">
        <is>
          <t>Operating burn (before equity &amp; debt)</t>
        </is>
      </c>
      <c r="B26" s="2" t="inlineStr">
        <is>
          <t>Formula; do not type here.</t>
        </is>
      </c>
      <c r="C26" s="14">
        <f>C25-C21-C22</f>
        <v/>
      </c>
      <c r="D26" s="14">
        <f>D25-D21-D22</f>
        <v/>
      </c>
      <c r="E26" s="14">
        <f>E25-E21-E22</f>
        <v/>
      </c>
      <c r="F26" s="14">
        <f>F25-F21-F22</f>
        <v/>
      </c>
      <c r="G26" s="14">
        <f>G25-G21-G22</f>
        <v/>
      </c>
      <c r="H26" s="14">
        <f>H25-H21-H22</f>
        <v/>
      </c>
      <c r="I26" s="14">
        <f>I25-I21-I22</f>
        <v/>
      </c>
      <c r="J26" s="14">
        <f>J25-J21-J22</f>
        <v/>
      </c>
      <c r="K26" s="14">
        <f>K25-K21-K22</f>
        <v/>
      </c>
      <c r="L26" s="14">
        <f>L25-L21-L22</f>
        <v/>
      </c>
      <c r="M26" s="14">
        <f>M25-M21-M22</f>
        <v/>
      </c>
      <c r="N26" s="14">
        <f>N25-N21-N22</f>
        <v/>
      </c>
      <c r="O26" s="14">
        <f>SUM(C26:N26)</f>
        <v/>
      </c>
    </row>
    <row r="27">
      <c r="A27" s="5" t="inlineStr">
        <is>
          <t>Runway (months, on last 3 months' operating burn)</t>
        </is>
      </c>
      <c r="B27" s="2" t="inlineStr">
        <is>
          <t>Formula; do not type here.</t>
        </is>
      </c>
      <c r="C27" s="23" t="n"/>
      <c r="D27" s="23" t="n"/>
      <c r="E27" s="23">
        <f>IF(AVERAGE(C26:E26)&gt;=0,"",-E24/AVERAGE(C26:E26))</f>
        <v/>
      </c>
      <c r="F27" s="23">
        <f>IF(AVERAGE(D26:F26)&gt;=0,"",-F24/AVERAGE(D26:F26))</f>
        <v/>
      </c>
      <c r="G27" s="23">
        <f>IF(AVERAGE(E26:G26)&gt;=0,"",-G24/AVERAGE(E26:G26))</f>
        <v/>
      </c>
      <c r="H27" s="23">
        <f>IF(AVERAGE(F26:H26)&gt;=0,"",-H24/AVERAGE(F26:H26))</f>
        <v/>
      </c>
      <c r="I27" s="23">
        <f>IF(AVERAGE(G26:I26)&gt;=0,"",-I24/AVERAGE(G26:I26))</f>
        <v/>
      </c>
      <c r="J27" s="23">
        <f>IF(AVERAGE(H26:J26)&gt;=0,"",-J24/AVERAGE(H26:J26))</f>
        <v/>
      </c>
      <c r="K27" s="23">
        <f>IF(AVERAGE(I26:K26)&gt;=0,"",-K24/AVERAGE(I26:K26))</f>
        <v/>
      </c>
      <c r="L27" s="23">
        <f>IF(AVERAGE(J26:L26)&gt;=0,"",-L24/AVERAGE(J26:L26))</f>
        <v/>
      </c>
      <c r="M27" s="23">
        <f>IF(AVERAGE(K26:M26)&gt;=0,"",-M24/AVERAGE(K26:M26))</f>
        <v/>
      </c>
      <c r="N27" s="23">
        <f>IF(AVERAGE(L26:N26)&gt;=0,"",-N24/AVERAGE(L26:N26))</f>
        <v/>
      </c>
      <c r="O27" s="23">
        <f>N27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Checks — anything marked CHECK deserves a look before you share this MIS</t>
        </is>
      </c>
    </row>
    <row r="2">
      <c r="A2" s="2" t="inlineStr">
        <is>
          <t>Bands are for the Beauty &amp; personal care archetype. They are guides, not rules; explain an exception rather than hide it.</t>
        </is>
      </c>
    </row>
    <row r="3">
      <c r="A3" s="10" t="inlineStr">
        <is>
          <t>Check</t>
        </is>
      </c>
      <c r="B3" s="10" t="inlineStr">
        <is>
          <t>Rule</t>
        </is>
      </c>
      <c r="C3" s="11" t="inlineStr">
        <is>
          <t>Apr-26</t>
        </is>
      </c>
      <c r="D3" s="11" t="inlineStr">
        <is>
          <t>May-26</t>
        </is>
      </c>
      <c r="E3" s="11" t="inlineStr">
        <is>
          <t>Jun-26</t>
        </is>
      </c>
      <c r="F3" s="11" t="inlineStr">
        <is>
          <t>Jul-26</t>
        </is>
      </c>
      <c r="G3" s="11" t="inlineStr">
        <is>
          <t>Aug-26</t>
        </is>
      </c>
      <c r="H3" s="11" t="inlineStr">
        <is>
          <t>Sep-26</t>
        </is>
      </c>
      <c r="I3" s="11" t="inlineStr">
        <is>
          <t>Oct-26</t>
        </is>
      </c>
      <c r="J3" s="11" t="inlineStr">
        <is>
          <t>Nov-26</t>
        </is>
      </c>
      <c r="K3" s="11" t="inlineStr">
        <is>
          <t>Dec-26</t>
        </is>
      </c>
      <c r="L3" s="11" t="inlineStr">
        <is>
          <t>Jan-27</t>
        </is>
      </c>
      <c r="M3" s="11" t="inlineStr">
        <is>
          <t>Feb-27</t>
        </is>
      </c>
      <c r="N3" s="11" t="inlineStr">
        <is>
          <t>Mar-27</t>
        </is>
      </c>
    </row>
    <row r="4">
      <c r="A4" s="5" t="inlineStr">
        <is>
          <t>Gross margin % within archetype band</t>
        </is>
      </c>
      <c r="B4" s="2" t="inlineStr">
        <is>
          <t>45%–75% of net sales</t>
        </is>
      </c>
      <c r="C4" s="24">
        <f>IF('Consolidated P&amp;L'!C11=0,"",IF(AND('Consolidated P&amp;L'!C17/'Consolidated P&amp;L'!C11&gt;=0.45,'Consolidated P&amp;L'!C17/'Consolidated P&amp;L'!C11&lt;=0.75),"OK","CHECK"))</f>
        <v/>
      </c>
      <c r="D4" s="24">
        <f>IF('Consolidated P&amp;L'!D11=0,"",IF(AND('Consolidated P&amp;L'!D17/'Consolidated P&amp;L'!D11&gt;=0.45,'Consolidated P&amp;L'!D17/'Consolidated P&amp;L'!D11&lt;=0.75),"OK","CHECK"))</f>
        <v/>
      </c>
      <c r="E4" s="24">
        <f>IF('Consolidated P&amp;L'!E11=0,"",IF(AND('Consolidated P&amp;L'!E17/'Consolidated P&amp;L'!E11&gt;=0.45,'Consolidated P&amp;L'!E17/'Consolidated P&amp;L'!E11&lt;=0.75),"OK","CHECK"))</f>
        <v/>
      </c>
      <c r="F4" s="24">
        <f>IF('Consolidated P&amp;L'!F11=0,"",IF(AND('Consolidated P&amp;L'!F17/'Consolidated P&amp;L'!F11&gt;=0.45,'Consolidated P&amp;L'!F17/'Consolidated P&amp;L'!F11&lt;=0.75),"OK","CHECK"))</f>
        <v/>
      </c>
      <c r="G4" s="24">
        <f>IF('Consolidated P&amp;L'!G11=0,"",IF(AND('Consolidated P&amp;L'!G17/'Consolidated P&amp;L'!G11&gt;=0.45,'Consolidated P&amp;L'!G17/'Consolidated P&amp;L'!G11&lt;=0.75),"OK","CHECK"))</f>
        <v/>
      </c>
      <c r="H4" s="24">
        <f>IF('Consolidated P&amp;L'!H11=0,"",IF(AND('Consolidated P&amp;L'!H17/'Consolidated P&amp;L'!H11&gt;=0.45,'Consolidated P&amp;L'!H17/'Consolidated P&amp;L'!H11&lt;=0.75),"OK","CHECK"))</f>
        <v/>
      </c>
      <c r="I4" s="24">
        <f>IF('Consolidated P&amp;L'!I11=0,"",IF(AND('Consolidated P&amp;L'!I17/'Consolidated P&amp;L'!I11&gt;=0.45,'Consolidated P&amp;L'!I17/'Consolidated P&amp;L'!I11&lt;=0.75),"OK","CHECK"))</f>
        <v/>
      </c>
      <c r="J4" s="24">
        <f>IF('Consolidated P&amp;L'!J11=0,"",IF(AND('Consolidated P&amp;L'!J17/'Consolidated P&amp;L'!J11&gt;=0.45,'Consolidated P&amp;L'!J17/'Consolidated P&amp;L'!J11&lt;=0.75),"OK","CHECK"))</f>
        <v/>
      </c>
      <c r="K4" s="24">
        <f>IF('Consolidated P&amp;L'!K11=0,"",IF(AND('Consolidated P&amp;L'!K17/'Consolidated P&amp;L'!K11&gt;=0.45,'Consolidated P&amp;L'!K17/'Consolidated P&amp;L'!K11&lt;=0.75),"OK","CHECK"))</f>
        <v/>
      </c>
      <c r="L4" s="24">
        <f>IF('Consolidated P&amp;L'!L11=0,"",IF(AND('Consolidated P&amp;L'!L17/'Consolidated P&amp;L'!L11&gt;=0.45,'Consolidated P&amp;L'!L17/'Consolidated P&amp;L'!L11&lt;=0.75),"OK","CHECK"))</f>
        <v/>
      </c>
      <c r="M4" s="24">
        <f>IF('Consolidated P&amp;L'!M11=0,"",IF(AND('Consolidated P&amp;L'!M17/'Consolidated P&amp;L'!M11&gt;=0.45,'Consolidated P&amp;L'!M17/'Consolidated P&amp;L'!M11&lt;=0.75),"OK","CHECK"))</f>
        <v/>
      </c>
      <c r="N4" s="24">
        <f>IF('Consolidated P&amp;L'!N11=0,"",IF(AND('Consolidated P&amp;L'!N17/'Consolidated P&amp;L'!N11&gt;=0.45,'Consolidated P&amp;L'!N17/'Consolidated P&amp;L'!N11&lt;=0.75),"OK","CHECK"))</f>
        <v/>
      </c>
    </row>
    <row r="5">
      <c r="A5" s="5" t="inlineStr">
        <is>
          <t>Returns &amp; RTO % of GMV within band</t>
        </is>
      </c>
      <c r="B5" s="2" t="inlineStr">
        <is>
          <t>0%–15% of GMV</t>
        </is>
      </c>
      <c r="C5" s="24">
        <f>IF('Consolidated P&amp;L'!C5=0,"",IF(AND(('Consolidated P&amp;L'!C8)/'Consolidated P&amp;L'!C5&gt;=0.0,('Consolidated P&amp;L'!C8)/'Consolidated P&amp;L'!C5&lt;=0.15),"OK","CHECK"))</f>
        <v/>
      </c>
      <c r="D5" s="24">
        <f>IF('Consolidated P&amp;L'!D5=0,"",IF(AND(('Consolidated P&amp;L'!D8)/'Consolidated P&amp;L'!D5&gt;=0.0,('Consolidated P&amp;L'!D8)/'Consolidated P&amp;L'!D5&lt;=0.15),"OK","CHECK"))</f>
        <v/>
      </c>
      <c r="E5" s="24">
        <f>IF('Consolidated P&amp;L'!E5=0,"",IF(AND(('Consolidated P&amp;L'!E8)/'Consolidated P&amp;L'!E5&gt;=0.0,('Consolidated P&amp;L'!E8)/'Consolidated P&amp;L'!E5&lt;=0.15),"OK","CHECK"))</f>
        <v/>
      </c>
      <c r="F5" s="24">
        <f>IF('Consolidated P&amp;L'!F5=0,"",IF(AND(('Consolidated P&amp;L'!F8)/'Consolidated P&amp;L'!F5&gt;=0.0,('Consolidated P&amp;L'!F8)/'Consolidated P&amp;L'!F5&lt;=0.15),"OK","CHECK"))</f>
        <v/>
      </c>
      <c r="G5" s="24">
        <f>IF('Consolidated P&amp;L'!G5=0,"",IF(AND(('Consolidated P&amp;L'!G8)/'Consolidated P&amp;L'!G5&gt;=0.0,('Consolidated P&amp;L'!G8)/'Consolidated P&amp;L'!G5&lt;=0.15),"OK","CHECK"))</f>
        <v/>
      </c>
      <c r="H5" s="24">
        <f>IF('Consolidated P&amp;L'!H5=0,"",IF(AND(('Consolidated P&amp;L'!H8)/'Consolidated P&amp;L'!H5&gt;=0.0,('Consolidated P&amp;L'!H8)/'Consolidated P&amp;L'!H5&lt;=0.15),"OK","CHECK"))</f>
        <v/>
      </c>
      <c r="I5" s="24">
        <f>IF('Consolidated P&amp;L'!I5=0,"",IF(AND(('Consolidated P&amp;L'!I8)/'Consolidated P&amp;L'!I5&gt;=0.0,('Consolidated P&amp;L'!I8)/'Consolidated P&amp;L'!I5&lt;=0.15),"OK","CHECK"))</f>
        <v/>
      </c>
      <c r="J5" s="24">
        <f>IF('Consolidated P&amp;L'!J5=0,"",IF(AND(('Consolidated P&amp;L'!J8)/'Consolidated P&amp;L'!J5&gt;=0.0,('Consolidated P&amp;L'!J8)/'Consolidated P&amp;L'!J5&lt;=0.15),"OK","CHECK"))</f>
        <v/>
      </c>
      <c r="K5" s="24">
        <f>IF('Consolidated P&amp;L'!K5=0,"",IF(AND(('Consolidated P&amp;L'!K8)/'Consolidated P&amp;L'!K5&gt;=0.0,('Consolidated P&amp;L'!K8)/'Consolidated P&amp;L'!K5&lt;=0.15),"OK","CHECK"))</f>
        <v/>
      </c>
      <c r="L5" s="24">
        <f>IF('Consolidated P&amp;L'!L5=0,"",IF(AND(('Consolidated P&amp;L'!L8)/'Consolidated P&amp;L'!L5&gt;=0.0,('Consolidated P&amp;L'!L8)/'Consolidated P&amp;L'!L5&lt;=0.15),"OK","CHECK"))</f>
        <v/>
      </c>
      <c r="M5" s="24">
        <f>IF('Consolidated P&amp;L'!M5=0,"",IF(AND(('Consolidated P&amp;L'!M8)/'Consolidated P&amp;L'!M5&gt;=0.0,('Consolidated P&amp;L'!M8)/'Consolidated P&amp;L'!M5&lt;=0.15),"OK","CHECK"))</f>
        <v/>
      </c>
      <c r="N5" s="24">
        <f>IF('Consolidated P&amp;L'!N5=0,"",IF(AND(('Consolidated P&amp;L'!N8)/'Consolidated P&amp;L'!N5&gt;=0.0,('Consolidated P&amp;L'!N8)/'Consolidated P&amp;L'!N5&lt;=0.15),"OK","CHECK"))</f>
        <v/>
      </c>
    </row>
    <row r="6">
      <c r="A6" s="5" t="inlineStr">
        <is>
          <t>Logistics % of net sales within band</t>
        </is>
      </c>
      <c r="B6" s="2" t="inlineStr">
        <is>
          <t>5%–15%</t>
        </is>
      </c>
      <c r="C6" s="24">
        <f>IF('Consolidated P&amp;L'!C11=0,"",IF(AND(('Consolidated P&amp;L'!C21+'Consolidated P&amp;L'!C23)/'Consolidated P&amp;L'!C11&gt;=0.05,('Consolidated P&amp;L'!C21+'Consolidated P&amp;L'!C23)/'Consolidated P&amp;L'!C11&lt;=0.15),"OK","CHECK"))</f>
        <v/>
      </c>
      <c r="D6" s="24">
        <f>IF('Consolidated P&amp;L'!D11=0,"",IF(AND(('Consolidated P&amp;L'!D21+'Consolidated P&amp;L'!D23)/'Consolidated P&amp;L'!D11&gt;=0.05,('Consolidated P&amp;L'!D21+'Consolidated P&amp;L'!D23)/'Consolidated P&amp;L'!D11&lt;=0.15),"OK","CHECK"))</f>
        <v/>
      </c>
      <c r="E6" s="24">
        <f>IF('Consolidated P&amp;L'!E11=0,"",IF(AND(('Consolidated P&amp;L'!E21+'Consolidated P&amp;L'!E23)/'Consolidated P&amp;L'!E11&gt;=0.05,('Consolidated P&amp;L'!E21+'Consolidated P&amp;L'!E23)/'Consolidated P&amp;L'!E11&lt;=0.15),"OK","CHECK"))</f>
        <v/>
      </c>
      <c r="F6" s="24">
        <f>IF('Consolidated P&amp;L'!F11=0,"",IF(AND(('Consolidated P&amp;L'!F21+'Consolidated P&amp;L'!F23)/'Consolidated P&amp;L'!F11&gt;=0.05,('Consolidated P&amp;L'!F21+'Consolidated P&amp;L'!F23)/'Consolidated P&amp;L'!F11&lt;=0.15),"OK","CHECK"))</f>
        <v/>
      </c>
      <c r="G6" s="24">
        <f>IF('Consolidated P&amp;L'!G11=0,"",IF(AND(('Consolidated P&amp;L'!G21+'Consolidated P&amp;L'!G23)/'Consolidated P&amp;L'!G11&gt;=0.05,('Consolidated P&amp;L'!G21+'Consolidated P&amp;L'!G23)/'Consolidated P&amp;L'!G11&lt;=0.15),"OK","CHECK"))</f>
        <v/>
      </c>
      <c r="H6" s="24">
        <f>IF('Consolidated P&amp;L'!H11=0,"",IF(AND(('Consolidated P&amp;L'!H21+'Consolidated P&amp;L'!H23)/'Consolidated P&amp;L'!H11&gt;=0.05,('Consolidated P&amp;L'!H21+'Consolidated P&amp;L'!H23)/'Consolidated P&amp;L'!H11&lt;=0.15),"OK","CHECK"))</f>
        <v/>
      </c>
      <c r="I6" s="24">
        <f>IF('Consolidated P&amp;L'!I11=0,"",IF(AND(('Consolidated P&amp;L'!I21+'Consolidated P&amp;L'!I23)/'Consolidated P&amp;L'!I11&gt;=0.05,('Consolidated P&amp;L'!I21+'Consolidated P&amp;L'!I23)/'Consolidated P&amp;L'!I11&lt;=0.15),"OK","CHECK"))</f>
        <v/>
      </c>
      <c r="J6" s="24">
        <f>IF('Consolidated P&amp;L'!J11=0,"",IF(AND(('Consolidated P&amp;L'!J21+'Consolidated P&amp;L'!J23)/'Consolidated P&amp;L'!J11&gt;=0.05,('Consolidated P&amp;L'!J21+'Consolidated P&amp;L'!J23)/'Consolidated P&amp;L'!J11&lt;=0.15),"OK","CHECK"))</f>
        <v/>
      </c>
      <c r="K6" s="24">
        <f>IF('Consolidated P&amp;L'!K11=0,"",IF(AND(('Consolidated P&amp;L'!K21+'Consolidated P&amp;L'!K23)/'Consolidated P&amp;L'!K11&gt;=0.05,('Consolidated P&amp;L'!K21+'Consolidated P&amp;L'!K23)/'Consolidated P&amp;L'!K11&lt;=0.15),"OK","CHECK"))</f>
        <v/>
      </c>
      <c r="L6" s="24">
        <f>IF('Consolidated P&amp;L'!L11=0,"",IF(AND(('Consolidated P&amp;L'!L21+'Consolidated P&amp;L'!L23)/'Consolidated P&amp;L'!L11&gt;=0.05,('Consolidated P&amp;L'!L21+'Consolidated P&amp;L'!L23)/'Consolidated P&amp;L'!L11&lt;=0.15),"OK","CHECK"))</f>
        <v/>
      </c>
      <c r="M6" s="24">
        <f>IF('Consolidated P&amp;L'!M11=0,"",IF(AND(('Consolidated P&amp;L'!M21+'Consolidated P&amp;L'!M23)/'Consolidated P&amp;L'!M11&gt;=0.05,('Consolidated P&amp;L'!M21+'Consolidated P&amp;L'!M23)/'Consolidated P&amp;L'!M11&lt;=0.15),"OK","CHECK"))</f>
        <v/>
      </c>
      <c r="N6" s="24">
        <f>IF('Consolidated P&amp;L'!N11=0,"",IF(AND(('Consolidated P&amp;L'!N21+'Consolidated P&amp;L'!N23)/'Consolidated P&amp;L'!N11&gt;=0.05,('Consolidated P&amp;L'!N21+'Consolidated P&amp;L'!N23)/'Consolidated P&amp;L'!N11&lt;=0.15),"OK","CHECK"))</f>
        <v/>
      </c>
    </row>
    <row r="7">
      <c r="A7" s="5" t="inlineStr">
        <is>
          <t>COGS entered when there are sales</t>
        </is>
      </c>
      <c r="B7" s="2" t="inlineStr">
        <is>
          <t>GMV &gt; 0 but COGS blank</t>
        </is>
      </c>
      <c r="C7" s="24">
        <f>IF('Consolidated P&amp;L'!C5=0,"",IF('Consolidated P&amp;L'!C16=0,"CHECK","OK"))</f>
        <v/>
      </c>
      <c r="D7" s="24">
        <f>IF('Consolidated P&amp;L'!D5=0,"",IF('Consolidated P&amp;L'!D16=0,"CHECK","OK"))</f>
        <v/>
      </c>
      <c r="E7" s="24">
        <f>IF('Consolidated P&amp;L'!E5=0,"",IF('Consolidated P&amp;L'!E16=0,"CHECK","OK"))</f>
        <v/>
      </c>
      <c r="F7" s="24">
        <f>IF('Consolidated P&amp;L'!F5=0,"",IF('Consolidated P&amp;L'!F16=0,"CHECK","OK"))</f>
        <v/>
      </c>
      <c r="G7" s="24">
        <f>IF('Consolidated P&amp;L'!G5=0,"",IF('Consolidated P&amp;L'!G16=0,"CHECK","OK"))</f>
        <v/>
      </c>
      <c r="H7" s="24">
        <f>IF('Consolidated P&amp;L'!H5=0,"",IF('Consolidated P&amp;L'!H16=0,"CHECK","OK"))</f>
        <v/>
      </c>
      <c r="I7" s="24">
        <f>IF('Consolidated P&amp;L'!I5=0,"",IF('Consolidated P&amp;L'!I16=0,"CHECK","OK"))</f>
        <v/>
      </c>
      <c r="J7" s="24">
        <f>IF('Consolidated P&amp;L'!J5=0,"",IF('Consolidated P&amp;L'!J16=0,"CHECK","OK"))</f>
        <v/>
      </c>
      <c r="K7" s="24">
        <f>IF('Consolidated P&amp;L'!K5=0,"",IF('Consolidated P&amp;L'!K16=0,"CHECK","OK"))</f>
        <v/>
      </c>
      <c r="L7" s="24">
        <f>IF('Consolidated P&amp;L'!L5=0,"",IF('Consolidated P&amp;L'!L16=0,"CHECK","OK"))</f>
        <v/>
      </c>
      <c r="M7" s="24">
        <f>IF('Consolidated P&amp;L'!M5=0,"",IF('Consolidated P&amp;L'!M16=0,"CHECK","OK"))</f>
        <v/>
      </c>
      <c r="N7" s="24">
        <f>IF('Consolidated P&amp;L'!N5=0,"",IF('Consolidated P&amp;L'!N16=0,"CHECK","OK"))</f>
        <v/>
      </c>
    </row>
    <row r="8">
      <c r="A8" s="5" t="inlineStr">
        <is>
          <t>Marketing entered when there are sales</t>
        </is>
      </c>
      <c r="B8" s="2" t="inlineStr">
        <is>
          <t>GMV &gt; 0 but no marketing anywhere</t>
        </is>
      </c>
      <c r="C8" s="24">
        <f>IF('Consolidated P&amp;L'!C5=0,"",IF(('Consolidated P&amp;L'!C29+'Consolidated P&amp;L'!C32)=0,"CHECK","OK"))</f>
        <v/>
      </c>
      <c r="D8" s="24">
        <f>IF('Consolidated P&amp;L'!D5=0,"",IF(('Consolidated P&amp;L'!D29+'Consolidated P&amp;L'!D32)=0,"CHECK","OK"))</f>
        <v/>
      </c>
      <c r="E8" s="24">
        <f>IF('Consolidated P&amp;L'!E5=0,"",IF(('Consolidated P&amp;L'!E29+'Consolidated P&amp;L'!E32)=0,"CHECK","OK"))</f>
        <v/>
      </c>
      <c r="F8" s="24">
        <f>IF('Consolidated P&amp;L'!F5=0,"",IF(('Consolidated P&amp;L'!F29+'Consolidated P&amp;L'!F32)=0,"CHECK","OK"))</f>
        <v/>
      </c>
      <c r="G8" s="24">
        <f>IF('Consolidated P&amp;L'!G5=0,"",IF(('Consolidated P&amp;L'!G29+'Consolidated P&amp;L'!G32)=0,"CHECK","OK"))</f>
        <v/>
      </c>
      <c r="H8" s="24">
        <f>IF('Consolidated P&amp;L'!H5=0,"",IF(('Consolidated P&amp;L'!H29+'Consolidated P&amp;L'!H32)=0,"CHECK","OK"))</f>
        <v/>
      </c>
      <c r="I8" s="24">
        <f>IF('Consolidated P&amp;L'!I5=0,"",IF(('Consolidated P&amp;L'!I29+'Consolidated P&amp;L'!I32)=0,"CHECK","OK"))</f>
        <v/>
      </c>
      <c r="J8" s="24">
        <f>IF('Consolidated P&amp;L'!J5=0,"",IF(('Consolidated P&amp;L'!J29+'Consolidated P&amp;L'!J32)=0,"CHECK","OK"))</f>
        <v/>
      </c>
      <c r="K8" s="24">
        <f>IF('Consolidated P&amp;L'!K5=0,"",IF(('Consolidated P&amp;L'!K29+'Consolidated P&amp;L'!K32)=0,"CHECK","OK"))</f>
        <v/>
      </c>
      <c r="L8" s="24">
        <f>IF('Consolidated P&amp;L'!L5=0,"",IF(('Consolidated P&amp;L'!L29+'Consolidated P&amp;L'!L32)=0,"CHECK","OK"))</f>
        <v/>
      </c>
      <c r="M8" s="24">
        <f>IF('Consolidated P&amp;L'!M5=0,"",IF(('Consolidated P&amp;L'!M29+'Consolidated P&amp;L'!M32)=0,"CHECK","OK"))</f>
        <v/>
      </c>
      <c r="N8" s="24">
        <f>IF('Consolidated P&amp;L'!N5=0,"",IF(('Consolidated P&amp;L'!N29+'Consolidated P&amp;L'!N32)=0,"CHECK","OK"))</f>
        <v/>
      </c>
    </row>
    <row r="9">
      <c r="A9" s="5" t="inlineStr">
        <is>
          <t>Blended RoAS above 1.0x</t>
        </is>
      </c>
      <c r="B9" s="2" t="inlineStr">
        <is>
          <t>Net sales ÷ all marketing ≥ 1.0</t>
        </is>
      </c>
      <c r="C9" s="24">
        <f>IF(('Consolidated P&amp;L'!C29+'Consolidated P&amp;L'!C32)=0,"",IF('Consolidated P&amp;L'!C11/('Consolidated P&amp;L'!C29+'Consolidated P&amp;L'!C32)&gt;=1,"OK","CHECK"))</f>
        <v/>
      </c>
      <c r="D9" s="24">
        <f>IF(('Consolidated P&amp;L'!D29+'Consolidated P&amp;L'!D32)=0,"",IF('Consolidated P&amp;L'!D11/('Consolidated P&amp;L'!D29+'Consolidated P&amp;L'!D32)&gt;=1,"OK","CHECK"))</f>
        <v/>
      </c>
      <c r="E9" s="24">
        <f>IF(('Consolidated P&amp;L'!E29+'Consolidated P&amp;L'!E32)=0,"",IF('Consolidated P&amp;L'!E11/('Consolidated P&amp;L'!E29+'Consolidated P&amp;L'!E32)&gt;=1,"OK","CHECK"))</f>
        <v/>
      </c>
      <c r="F9" s="24">
        <f>IF(('Consolidated P&amp;L'!F29+'Consolidated P&amp;L'!F32)=0,"",IF('Consolidated P&amp;L'!F11/('Consolidated P&amp;L'!F29+'Consolidated P&amp;L'!F32)&gt;=1,"OK","CHECK"))</f>
        <v/>
      </c>
      <c r="G9" s="24">
        <f>IF(('Consolidated P&amp;L'!G29+'Consolidated P&amp;L'!G32)=0,"",IF('Consolidated P&amp;L'!G11/('Consolidated P&amp;L'!G29+'Consolidated P&amp;L'!G32)&gt;=1,"OK","CHECK"))</f>
        <v/>
      </c>
      <c r="H9" s="24">
        <f>IF(('Consolidated P&amp;L'!H29+'Consolidated P&amp;L'!H32)=0,"",IF('Consolidated P&amp;L'!H11/('Consolidated P&amp;L'!H29+'Consolidated P&amp;L'!H32)&gt;=1,"OK","CHECK"))</f>
        <v/>
      </c>
      <c r="I9" s="24">
        <f>IF(('Consolidated P&amp;L'!I29+'Consolidated P&amp;L'!I32)=0,"",IF('Consolidated P&amp;L'!I11/('Consolidated P&amp;L'!I29+'Consolidated P&amp;L'!I32)&gt;=1,"OK","CHECK"))</f>
        <v/>
      </c>
      <c r="J9" s="24">
        <f>IF(('Consolidated P&amp;L'!J29+'Consolidated P&amp;L'!J32)=0,"",IF('Consolidated P&amp;L'!J11/('Consolidated P&amp;L'!J29+'Consolidated P&amp;L'!J32)&gt;=1,"OK","CHECK"))</f>
        <v/>
      </c>
      <c r="K9" s="24">
        <f>IF(('Consolidated P&amp;L'!K29+'Consolidated P&amp;L'!K32)=0,"",IF('Consolidated P&amp;L'!K11/('Consolidated P&amp;L'!K29+'Consolidated P&amp;L'!K32)&gt;=1,"OK","CHECK"))</f>
        <v/>
      </c>
      <c r="L9" s="24">
        <f>IF(('Consolidated P&amp;L'!L29+'Consolidated P&amp;L'!L32)=0,"",IF('Consolidated P&amp;L'!L11/('Consolidated P&amp;L'!L29+'Consolidated P&amp;L'!L32)&gt;=1,"OK","CHECK"))</f>
        <v/>
      </c>
      <c r="M9" s="24">
        <f>IF(('Consolidated P&amp;L'!M29+'Consolidated P&amp;L'!M32)=0,"",IF('Consolidated P&amp;L'!M11/('Consolidated P&amp;L'!M29+'Consolidated P&amp;L'!M32)&gt;=1,"OK","CHECK"))</f>
        <v/>
      </c>
      <c r="N9" s="24">
        <f>IF(('Consolidated P&amp;L'!N29+'Consolidated P&amp;L'!N32)=0,"",IF('Consolidated P&amp;L'!N11/('Consolidated P&amp;L'!N29+'Consolidated P&amp;L'!N32)&gt;=1,"OK","CHECK"))</f>
        <v/>
      </c>
    </row>
    <row r="10">
      <c r="A10" s="5" t="inlineStr">
        <is>
          <t>CM1 not above gross margin</t>
        </is>
      </c>
      <c r="B10" s="2" t="inlineStr">
        <is>
          <t>Fulfilment costs entered</t>
        </is>
      </c>
      <c r="C10" s="24">
        <f>IF('Consolidated P&amp;L'!C11=0,"",IF('Consolidated P&amp;L'!C25&lt;='Consolidated P&amp;L'!C17,"OK","CHECK"))</f>
        <v/>
      </c>
      <c r="D10" s="24">
        <f>IF('Consolidated P&amp;L'!D11=0,"",IF('Consolidated P&amp;L'!D25&lt;='Consolidated P&amp;L'!D17,"OK","CHECK"))</f>
        <v/>
      </c>
      <c r="E10" s="24">
        <f>IF('Consolidated P&amp;L'!E11=0,"",IF('Consolidated P&amp;L'!E25&lt;='Consolidated P&amp;L'!E17,"OK","CHECK"))</f>
        <v/>
      </c>
      <c r="F10" s="24">
        <f>IF('Consolidated P&amp;L'!F11=0,"",IF('Consolidated P&amp;L'!F25&lt;='Consolidated P&amp;L'!F17,"OK","CHECK"))</f>
        <v/>
      </c>
      <c r="G10" s="24">
        <f>IF('Consolidated P&amp;L'!G11=0,"",IF('Consolidated P&amp;L'!G25&lt;='Consolidated P&amp;L'!G17,"OK","CHECK"))</f>
        <v/>
      </c>
      <c r="H10" s="24">
        <f>IF('Consolidated P&amp;L'!H11=0,"",IF('Consolidated P&amp;L'!H25&lt;='Consolidated P&amp;L'!H17,"OK","CHECK"))</f>
        <v/>
      </c>
      <c r="I10" s="24">
        <f>IF('Consolidated P&amp;L'!I11=0,"",IF('Consolidated P&amp;L'!I25&lt;='Consolidated P&amp;L'!I17,"OK","CHECK"))</f>
        <v/>
      </c>
      <c r="J10" s="24">
        <f>IF('Consolidated P&amp;L'!J11=0,"",IF('Consolidated P&amp;L'!J25&lt;='Consolidated P&amp;L'!J17,"OK","CHECK"))</f>
        <v/>
      </c>
      <c r="K10" s="24">
        <f>IF('Consolidated P&amp;L'!K11=0,"",IF('Consolidated P&amp;L'!K25&lt;='Consolidated P&amp;L'!K17,"OK","CHECK"))</f>
        <v/>
      </c>
      <c r="L10" s="24">
        <f>IF('Consolidated P&amp;L'!L11=0,"",IF('Consolidated P&amp;L'!L25&lt;='Consolidated P&amp;L'!L17,"OK","CHECK"))</f>
        <v/>
      </c>
      <c r="M10" s="24">
        <f>IF('Consolidated P&amp;L'!M11=0,"",IF('Consolidated P&amp;L'!M25&lt;='Consolidated P&amp;L'!M17,"OK","CHECK"))</f>
        <v/>
      </c>
      <c r="N10" s="24">
        <f>IF('Consolidated P&amp;L'!N11=0,"",IF('Consolidated P&amp;L'!N25&lt;='Consolidated P&amp;L'!N17,"OK","CHECK"))</f>
        <v/>
      </c>
    </row>
    <row r="11">
      <c r="A11" s="5" t="inlineStr">
        <is>
          <t>Fixed costs entered when there are sales</t>
        </is>
      </c>
      <c r="B11" s="2" t="inlineStr">
        <is>
          <t>People + tech + admin &gt; 0</t>
        </is>
      </c>
      <c r="C11" s="24">
        <f>IF('Consolidated P&amp;L'!C5=0,"",IF(('Consolidated P&amp;L'!C37+'Consolidated P&amp;L'!C38+'Consolidated P&amp;L'!C39)=0,"CHECK","OK"))</f>
        <v/>
      </c>
      <c r="D11" s="24">
        <f>IF('Consolidated P&amp;L'!D5=0,"",IF(('Consolidated P&amp;L'!D37+'Consolidated P&amp;L'!D38+'Consolidated P&amp;L'!D39)=0,"CHECK","OK"))</f>
        <v/>
      </c>
      <c r="E11" s="24">
        <f>IF('Consolidated P&amp;L'!E5=0,"",IF(('Consolidated P&amp;L'!E37+'Consolidated P&amp;L'!E38+'Consolidated P&amp;L'!E39)=0,"CHECK","OK"))</f>
        <v/>
      </c>
      <c r="F11" s="24">
        <f>IF('Consolidated P&amp;L'!F5=0,"",IF(('Consolidated P&amp;L'!F37+'Consolidated P&amp;L'!F38+'Consolidated P&amp;L'!F39)=0,"CHECK","OK"))</f>
        <v/>
      </c>
      <c r="G11" s="24">
        <f>IF('Consolidated P&amp;L'!G5=0,"",IF(('Consolidated P&amp;L'!G37+'Consolidated P&amp;L'!G38+'Consolidated P&amp;L'!G39)=0,"CHECK","OK"))</f>
        <v/>
      </c>
      <c r="H11" s="24">
        <f>IF('Consolidated P&amp;L'!H5=0,"",IF(('Consolidated P&amp;L'!H37+'Consolidated P&amp;L'!H38+'Consolidated P&amp;L'!H39)=0,"CHECK","OK"))</f>
        <v/>
      </c>
      <c r="I11" s="24">
        <f>IF('Consolidated P&amp;L'!I5=0,"",IF(('Consolidated P&amp;L'!I37+'Consolidated P&amp;L'!I38+'Consolidated P&amp;L'!I39)=0,"CHECK","OK"))</f>
        <v/>
      </c>
      <c r="J11" s="24">
        <f>IF('Consolidated P&amp;L'!J5=0,"",IF(('Consolidated P&amp;L'!J37+'Consolidated P&amp;L'!J38+'Consolidated P&amp;L'!J39)=0,"CHECK","OK"))</f>
        <v/>
      </c>
      <c r="K11" s="24">
        <f>IF('Consolidated P&amp;L'!K5=0,"",IF(('Consolidated P&amp;L'!K37+'Consolidated P&amp;L'!K38+'Consolidated P&amp;L'!K39)=0,"CHECK","OK"))</f>
        <v/>
      </c>
      <c r="L11" s="24">
        <f>IF('Consolidated P&amp;L'!L5=0,"",IF(('Consolidated P&amp;L'!L37+'Consolidated P&amp;L'!L38+'Consolidated P&amp;L'!L39)=0,"CHECK","OK"))</f>
        <v/>
      </c>
      <c r="M11" s="24">
        <f>IF('Consolidated P&amp;L'!M5=0,"",IF(('Consolidated P&amp;L'!M37+'Consolidated P&amp;L'!M38+'Consolidated P&amp;L'!M39)=0,"CHECK","OK"))</f>
        <v/>
      </c>
      <c r="N11" s="24">
        <f>IF('Consolidated P&amp;L'!N5=0,"",IF(('Consolidated P&amp;L'!N37+'Consolidated P&amp;L'!N38+'Consolidated P&amp;L'!N39)=0,"CHECK","OK"))</f>
        <v/>
      </c>
    </row>
    <row r="12">
      <c r="A12" s="5" t="inlineStr">
        <is>
          <t>Inventory days within band</t>
        </is>
      </c>
      <c r="B12" s="2" t="inlineStr">
        <is>
          <t>30–150 days</t>
        </is>
      </c>
      <c r="C12" s="24">
        <f>IF('Cash &amp; Working Capital'!C5=0,"",IF(AND('Cash &amp; Working Capital'!C9&gt;=30,'Cash &amp; Working Capital'!C9&lt;=150),"OK","CHECK"))</f>
        <v/>
      </c>
      <c r="D12" s="24">
        <f>IF('Cash &amp; Working Capital'!D5=0,"",IF(AND('Cash &amp; Working Capital'!D9&gt;=30,'Cash &amp; Working Capital'!D9&lt;=150),"OK","CHECK"))</f>
        <v/>
      </c>
      <c r="E12" s="24">
        <f>IF('Cash &amp; Working Capital'!E5=0,"",IF(AND('Cash &amp; Working Capital'!E9&gt;=30,'Cash &amp; Working Capital'!E9&lt;=150),"OK","CHECK"))</f>
        <v/>
      </c>
      <c r="F12" s="24">
        <f>IF('Cash &amp; Working Capital'!F5=0,"",IF(AND('Cash &amp; Working Capital'!F9&gt;=30,'Cash &amp; Working Capital'!F9&lt;=150),"OK","CHECK"))</f>
        <v/>
      </c>
      <c r="G12" s="24">
        <f>IF('Cash &amp; Working Capital'!G5=0,"",IF(AND('Cash &amp; Working Capital'!G9&gt;=30,'Cash &amp; Working Capital'!G9&lt;=150),"OK","CHECK"))</f>
        <v/>
      </c>
      <c r="H12" s="24">
        <f>IF('Cash &amp; Working Capital'!H5=0,"",IF(AND('Cash &amp; Working Capital'!H9&gt;=30,'Cash &amp; Working Capital'!H9&lt;=150),"OK","CHECK"))</f>
        <v/>
      </c>
      <c r="I12" s="24">
        <f>IF('Cash &amp; Working Capital'!I5=0,"",IF(AND('Cash &amp; Working Capital'!I9&gt;=30,'Cash &amp; Working Capital'!I9&lt;=150),"OK","CHECK"))</f>
        <v/>
      </c>
      <c r="J12" s="24">
        <f>IF('Cash &amp; Working Capital'!J5=0,"",IF(AND('Cash &amp; Working Capital'!J9&gt;=30,'Cash &amp; Working Capital'!J9&lt;=150),"OK","CHECK"))</f>
        <v/>
      </c>
      <c r="K12" s="24">
        <f>IF('Cash &amp; Working Capital'!K5=0,"",IF(AND('Cash &amp; Working Capital'!K9&gt;=30,'Cash &amp; Working Capital'!K9&lt;=150),"OK","CHECK"))</f>
        <v/>
      </c>
      <c r="L12" s="24">
        <f>IF('Cash &amp; Working Capital'!L5=0,"",IF(AND('Cash &amp; Working Capital'!L9&gt;=30,'Cash &amp; Working Capital'!L9&lt;=150),"OK","CHECK"))</f>
        <v/>
      </c>
      <c r="M12" s="24">
        <f>IF('Cash &amp; Working Capital'!M5=0,"",IF(AND('Cash &amp; Working Capital'!M9&gt;=30,'Cash &amp; Working Capital'!M9&lt;=150),"OK","CHECK"))</f>
        <v/>
      </c>
      <c r="N12" s="24">
        <f>IF('Cash &amp; Working Capital'!N5=0,"",IF(AND('Cash &amp; Working Capital'!N9&gt;=30,'Cash &amp; Working Capital'!N9&lt;=150),"OK","CHECK"))</f>
        <v/>
      </c>
    </row>
    <row r="13">
      <c r="A13" s="5" t="inlineStr">
        <is>
          <t>Receivable days within band</t>
        </is>
      </c>
      <c r="B13" s="2" t="inlineStr">
        <is>
          <t>0–60 days</t>
        </is>
      </c>
      <c r="C13" s="24">
        <f>IF('Cash &amp; Working Capital'!C6=0,"",IF(AND('Cash &amp; Working Capital'!C10&gt;=0,'Cash &amp; Working Capital'!C10&lt;=60),"OK","CHECK"))</f>
        <v/>
      </c>
      <c r="D13" s="24">
        <f>IF('Cash &amp; Working Capital'!D6=0,"",IF(AND('Cash &amp; Working Capital'!D10&gt;=0,'Cash &amp; Working Capital'!D10&lt;=60),"OK","CHECK"))</f>
        <v/>
      </c>
      <c r="E13" s="24">
        <f>IF('Cash &amp; Working Capital'!E6=0,"",IF(AND('Cash &amp; Working Capital'!E10&gt;=0,'Cash &amp; Working Capital'!E10&lt;=60),"OK","CHECK"))</f>
        <v/>
      </c>
      <c r="F13" s="24">
        <f>IF('Cash &amp; Working Capital'!F6=0,"",IF(AND('Cash &amp; Working Capital'!F10&gt;=0,'Cash &amp; Working Capital'!F10&lt;=60),"OK","CHECK"))</f>
        <v/>
      </c>
      <c r="G13" s="24">
        <f>IF('Cash &amp; Working Capital'!G6=0,"",IF(AND('Cash &amp; Working Capital'!G10&gt;=0,'Cash &amp; Working Capital'!G10&lt;=60),"OK","CHECK"))</f>
        <v/>
      </c>
      <c r="H13" s="24">
        <f>IF('Cash &amp; Working Capital'!H6=0,"",IF(AND('Cash &amp; Working Capital'!H10&gt;=0,'Cash &amp; Working Capital'!H10&lt;=60),"OK","CHECK"))</f>
        <v/>
      </c>
      <c r="I13" s="24">
        <f>IF('Cash &amp; Working Capital'!I6=0,"",IF(AND('Cash &amp; Working Capital'!I10&gt;=0,'Cash &amp; Working Capital'!I10&lt;=60),"OK","CHECK"))</f>
        <v/>
      </c>
      <c r="J13" s="24">
        <f>IF('Cash &amp; Working Capital'!J6=0,"",IF(AND('Cash &amp; Working Capital'!J10&gt;=0,'Cash &amp; Working Capital'!J10&lt;=60),"OK","CHECK"))</f>
        <v/>
      </c>
      <c r="K13" s="24">
        <f>IF('Cash &amp; Working Capital'!K6=0,"",IF(AND('Cash &amp; Working Capital'!K10&gt;=0,'Cash &amp; Working Capital'!K10&lt;=60),"OK","CHECK"))</f>
        <v/>
      </c>
      <c r="L13" s="24">
        <f>IF('Cash &amp; Working Capital'!L6=0,"",IF(AND('Cash &amp; Working Capital'!L10&gt;=0,'Cash &amp; Working Capital'!L10&lt;=60),"OK","CHECK"))</f>
        <v/>
      </c>
      <c r="M13" s="24">
        <f>IF('Cash &amp; Working Capital'!M6=0,"",IF(AND('Cash &amp; Working Capital'!M10&gt;=0,'Cash &amp; Working Capital'!M10&lt;=60),"OK","CHECK"))</f>
        <v/>
      </c>
      <c r="N13" s="24">
        <f>IF('Cash &amp; Working Capital'!N6=0,"",IF(AND('Cash &amp; Working Capital'!N10&gt;=0,'Cash &amp; Working Capital'!N10&lt;=60),"OK","CHECK"))</f>
        <v/>
      </c>
    </row>
    <row r="14">
      <c r="A14" s="5" t="inlineStr">
        <is>
          <t>Working capital entered</t>
        </is>
      </c>
      <c r="B14" s="2" t="inlineStr">
        <is>
          <t>Inventory or receivables filled when there are sales</t>
        </is>
      </c>
      <c r="C14" s="24">
        <f>IF('Consolidated P&amp;L'!C5=0,"",IF(('Cash &amp; Working Capital'!C5+'Cash &amp; Working Capital'!C6)=0,"CHECK","OK"))</f>
        <v/>
      </c>
      <c r="D14" s="24">
        <f>IF('Consolidated P&amp;L'!D5=0,"",IF(('Cash &amp; Working Capital'!D5+'Cash &amp; Working Capital'!D6)=0,"CHECK","OK"))</f>
        <v/>
      </c>
      <c r="E14" s="24">
        <f>IF('Consolidated P&amp;L'!E5=0,"",IF(('Cash &amp; Working Capital'!E5+'Cash &amp; Working Capital'!E6)=0,"CHECK","OK"))</f>
        <v/>
      </c>
      <c r="F14" s="24">
        <f>IF('Consolidated P&amp;L'!F5=0,"",IF(('Cash &amp; Working Capital'!F5+'Cash &amp; Working Capital'!F6)=0,"CHECK","OK"))</f>
        <v/>
      </c>
      <c r="G14" s="24">
        <f>IF('Consolidated P&amp;L'!G5=0,"",IF(('Cash &amp; Working Capital'!G5+'Cash &amp; Working Capital'!G6)=0,"CHECK","OK"))</f>
        <v/>
      </c>
      <c r="H14" s="24">
        <f>IF('Consolidated P&amp;L'!H5=0,"",IF(('Cash &amp; Working Capital'!H5+'Cash &amp; Working Capital'!H6)=0,"CHECK","OK"))</f>
        <v/>
      </c>
      <c r="I14" s="24">
        <f>IF('Consolidated P&amp;L'!I5=0,"",IF(('Cash &amp; Working Capital'!I5+'Cash &amp; Working Capital'!I6)=0,"CHECK","OK"))</f>
        <v/>
      </c>
      <c r="J14" s="24">
        <f>IF('Consolidated P&amp;L'!J5=0,"",IF(('Cash &amp; Working Capital'!J5+'Cash &amp; Working Capital'!J6)=0,"CHECK","OK"))</f>
        <v/>
      </c>
      <c r="K14" s="24">
        <f>IF('Consolidated P&amp;L'!K5=0,"",IF(('Cash &amp; Working Capital'!K5+'Cash &amp; Working Capital'!K6)=0,"CHECK","OK"))</f>
        <v/>
      </c>
      <c r="L14" s="24">
        <f>IF('Consolidated P&amp;L'!L5=0,"",IF(('Cash &amp; Working Capital'!L5+'Cash &amp; Working Capital'!L6)=0,"CHECK","OK"))</f>
        <v/>
      </c>
      <c r="M14" s="24">
        <f>IF('Consolidated P&amp;L'!M5=0,"",IF(('Cash &amp; Working Capital'!M5+'Cash &amp; Working Capital'!M6)=0,"CHECK","OK"))</f>
        <v/>
      </c>
      <c r="N14" s="24">
        <f>IF('Consolidated P&amp;L'!N5=0,"",IF(('Cash &amp; Working Capital'!N5+'Cash &amp; Working Capital'!N6)=0,"CHECK","OK"))</f>
        <v/>
      </c>
    </row>
    <row r="15">
      <c r="A15" s="5" t="inlineStr">
        <is>
          <t>Cash roll-forward populated</t>
        </is>
      </c>
      <c r="B15" s="2" t="inlineStr">
        <is>
          <t>Opening cash present</t>
        </is>
      </c>
      <c r="C15" s="24">
        <f>IF('Consolidated P&amp;L'!C5=0,"",IF('Cash &amp; Working Capital'!C15=0,"CHECK","OK"))</f>
        <v/>
      </c>
      <c r="D15" s="24">
        <f>IF('Consolidated P&amp;L'!D5=0,"",IF('Cash &amp; Working Capital'!D15=0,"CHECK","OK"))</f>
        <v/>
      </c>
      <c r="E15" s="24">
        <f>IF('Consolidated P&amp;L'!E5=0,"",IF('Cash &amp; Working Capital'!E15=0,"CHECK","OK"))</f>
        <v/>
      </c>
      <c r="F15" s="24">
        <f>IF('Consolidated P&amp;L'!F5=0,"",IF('Cash &amp; Working Capital'!F15=0,"CHECK","OK"))</f>
        <v/>
      </c>
      <c r="G15" s="24">
        <f>IF('Consolidated P&amp;L'!G5=0,"",IF('Cash &amp; Working Capital'!G15=0,"CHECK","OK"))</f>
        <v/>
      </c>
      <c r="H15" s="24">
        <f>IF('Consolidated P&amp;L'!H5=0,"",IF('Cash &amp; Working Capital'!H15=0,"CHECK","OK"))</f>
        <v/>
      </c>
      <c r="I15" s="24">
        <f>IF('Consolidated P&amp;L'!I5=0,"",IF('Cash &amp; Working Capital'!I15=0,"CHECK","OK"))</f>
        <v/>
      </c>
      <c r="J15" s="24">
        <f>IF('Consolidated P&amp;L'!J5=0,"",IF('Cash &amp; Working Capital'!J15=0,"CHECK","OK"))</f>
        <v/>
      </c>
      <c r="K15" s="24">
        <f>IF('Consolidated P&amp;L'!K5=0,"",IF('Cash &amp; Working Capital'!K15=0,"CHECK","OK"))</f>
        <v/>
      </c>
      <c r="L15" s="24">
        <f>IF('Consolidated P&amp;L'!L5=0,"",IF('Cash &amp; Working Capital'!L15=0,"CHECK","OK"))</f>
        <v/>
      </c>
      <c r="M15" s="24">
        <f>IF('Consolidated P&amp;L'!M5=0,"",IF('Cash &amp; Working Capital'!M15=0,"CHECK","OK"))</f>
        <v/>
      </c>
      <c r="N15" s="24">
        <f>IF('Consolidated P&amp;L'!N5=0,"",IF('Cash &amp; Working Capital'!N15=0,"CHECK","OK"))</f>
        <v/>
      </c>
    </row>
  </sheetData>
  <conditionalFormatting sqref="C4:N15">
    <cfRule type="cellIs" priority="1" operator="equal" dxfId="0">
      <formula>"CHECK"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Definitions — every line, what it means, where to find it, and the common mistake</t>
        </is>
      </c>
    </row>
    <row r="3">
      <c r="A3" s="10" t="inlineStr">
        <is>
          <t>Tab</t>
        </is>
      </c>
      <c r="B3" s="10" t="inlineStr">
        <is>
          <t>Block</t>
        </is>
      </c>
      <c r="C3" s="10" t="inlineStr">
        <is>
          <t>Line</t>
        </is>
      </c>
      <c r="D3" s="10" t="inlineStr">
        <is>
          <t>What it is</t>
        </is>
      </c>
      <c r="E3" s="10" t="inlineStr">
        <is>
          <t>Where to find it</t>
        </is>
      </c>
      <c r="F3" s="10" t="inlineStr">
        <is>
          <t>Common mistake</t>
        </is>
      </c>
    </row>
    <row r="4">
      <c r="A4" s="4" t="inlineStr">
        <is>
          <t>Website</t>
        </is>
      </c>
      <c r="B4" s="4" t="inlineStr">
        <is>
          <t>REVENUE</t>
        </is>
      </c>
      <c r="C4" s="4" t="inlineStr">
        <is>
          <t>Gross sales (GMV) incl. GST</t>
        </is>
      </c>
      <c r="D4" s="4" t="inlineStr">
        <is>
          <t>Everything customers ordered and you shipped this month, valued at the price they paid before any discount, including GST.</t>
        </is>
      </c>
      <c r="E4" s="4" t="inlineStr">
        <is>
          <t>Shopify › Analytics › Gross sales (before discounts, returns and shipping). Woo/Magento: sum of order value incl. GST.</t>
        </is>
      </c>
      <c r="F4" s="4" t="inlineStr">
        <is>
          <t>Entering Shopify 'Total sales' (already net of discounts and returns) or entering values excluding GST. Enter the gross, GST-inclusive number and let the sheet deduct.</t>
        </is>
      </c>
    </row>
    <row r="5">
      <c r="A5" s="4" t="inlineStr">
        <is>
          <t>Website</t>
        </is>
      </c>
      <c r="B5" s="4" t="inlineStr">
        <is>
          <t>REVENUE</t>
        </is>
      </c>
      <c r="C5" s="4" t="inlineStr">
        <is>
          <t>Consumer discounts &amp; coupons</t>
        </is>
      </c>
      <c r="D5" s="4" t="inlineStr">
        <is>
          <t>Discounts the shopper saw at checkout: coupon codes, automatic discounts, sale price-offs. Funded by you.</t>
        </is>
      </c>
      <c r="E5" s="4" t="inlineStr">
        <is>
          <t>Shopify › Analytics › Discounts.</t>
        </is>
      </c>
      <c r="F5" s="4" t="inlineStr">
        <is>
          <t>Mixing platform commission in here. Commission is what the platform keeps; discounts are what the customer did not pay.</t>
        </is>
      </c>
    </row>
    <row r="6">
      <c r="A6" s="4" t="inlineStr">
        <is>
          <t>Website</t>
        </is>
      </c>
      <c r="B6" s="4" t="inlineStr">
        <is>
          <t>REVENUE</t>
        </is>
      </c>
      <c r="C6" s="4" t="inlineStr">
        <is>
          <t>Returns, RTO &amp; cancellations after dispatch</t>
        </is>
      </c>
      <c r="D6" s="4" t="inlineStr">
        <is>
          <t>Value (at selling price incl. GST) of orders that came back: undelivered COD (RTO), customer returns, cancellations after dispatch.</t>
        </is>
      </c>
      <c r="E6" s="4" t="inlineStr">
        <is>
          <t>Shopify › Analytics › Returns, plus RTO value from your courier or Shiprocket RTO report.</t>
        </is>
      </c>
      <c r="F6" s="4" t="inlineStr">
        <is>
          <t>Counting only refunds. RTO on COD orders is the bigger number for most website channels and never shows as a refund.</t>
        </is>
      </c>
    </row>
    <row r="7">
      <c r="A7" s="4" t="inlineStr">
        <is>
          <t>Website</t>
        </is>
      </c>
      <c r="B7" s="4" t="inlineStr">
        <is>
          <t>REVENUE</t>
        </is>
      </c>
      <c r="C7" s="4" t="inlineStr">
        <is>
          <t>Net revenue before GST</t>
        </is>
      </c>
      <c r="D7" s="4" t="inlineStr">
        <is>
          <t>What is left after discounts, partner margin and returns. Still includes GST.</t>
        </is>
      </c>
      <c r="E7" s="4" t="inlineStr"/>
      <c r="F7" s="4" t="inlineStr"/>
    </row>
    <row r="8">
      <c r="A8" s="4" t="inlineStr">
        <is>
          <t>Website</t>
        </is>
      </c>
      <c r="B8" s="4" t="inlineStr">
        <is>
          <t>REVENUE</t>
        </is>
      </c>
      <c r="C8" s="4" t="inlineStr">
        <is>
          <t>Less: GST (output tax)</t>
        </is>
      </c>
      <c r="D8" s="4" t="inlineStr">
        <is>
          <t>GST collected on your net revenue, at the rate set on Start Here for this channel. Overwrite with your GSTR-1 figure if you have it.</t>
        </is>
      </c>
      <c r="E8" s="4" t="inlineStr"/>
      <c r="F8" s="4" t="inlineStr">
        <is>
          <t>Deducting GST as a percentage of the gross number instead of backing it out (÷ 1.18, not × 0.18).</t>
        </is>
      </c>
    </row>
    <row r="9">
      <c r="A9" s="4" t="inlineStr">
        <is>
          <t>Website</t>
        </is>
      </c>
      <c r="B9" s="4" t="inlineStr">
        <is>
          <t>REVENUE</t>
        </is>
      </c>
      <c r="C9" s="4" t="inlineStr">
        <is>
          <t>NET SALES (post GST)</t>
        </is>
      </c>
      <c r="D9" s="4" t="inlineStr">
        <is>
          <t>The number every ratio below is measured against. Investors call it net sales, NSR or NMV.</t>
        </is>
      </c>
      <c r="E9" s="4" t="inlineStr"/>
      <c r="F9" s="4" t="inlineStr"/>
    </row>
    <row r="10">
      <c r="A10" s="4" t="inlineStr">
        <is>
          <t>Website</t>
        </is>
      </c>
      <c r="B10" s="4" t="inlineStr">
        <is>
          <t>COST OF GOODS</t>
        </is>
      </c>
      <c r="C10" s="4" t="inlineStr">
        <is>
          <t>Cost of goods sold (product + conversion + primary packaging)</t>
        </is>
      </c>
      <c r="D10" s="4" t="inlineStr">
        <is>
          <t>The cost of the units you actually sold: product, manufacturing or job-work, and the packaging that touches the product.</t>
        </is>
      </c>
      <c r="E10" s="4" t="inlineStr">
        <is>
          <t>Contract-manufactured: product cost + primary packaging per unit × units sold this month. Include the cost of testers and samples given away.</t>
        </is>
      </c>
      <c r="F10" s="4" t="inlineStr">
        <is>
          <t>Entering this month's purchases or factory bills. Purchases go to inventory; COGS is only what left the warehouse as sales. Secondary packaging (shippers, fillers) goes in Logistics.</t>
        </is>
      </c>
    </row>
    <row r="11">
      <c r="A11" s="4" t="inlineStr">
        <is>
          <t>Website</t>
        </is>
      </c>
      <c r="B11" s="4" t="inlineStr">
        <is>
          <t>COST OF GOODS</t>
        </is>
      </c>
      <c r="C11" s="4" t="inlineStr">
        <is>
          <t>GROSS MARGIN</t>
        </is>
      </c>
      <c r="D11" s="4" t="inlineStr">
        <is>
          <t>Net sales less cost of goods. The first number an investor looks at.</t>
        </is>
      </c>
      <c r="E11" s="4" t="inlineStr"/>
      <c r="F11" s="4" t="inlineStr"/>
    </row>
    <row r="12">
      <c r="A12" s="4" t="inlineStr">
        <is>
          <t>Website</t>
        </is>
      </c>
      <c r="B12" s="4" t="inlineStr">
        <is>
          <t>FULFILMENT &amp; CHANNEL COSTS</t>
        </is>
      </c>
      <c r="C12" s="4" t="inlineStr">
        <is>
          <t>Logistics: forward, reverse, RTO &amp; COD charges, secondary packaging</t>
        </is>
      </c>
      <c r="D12" s="4" t="inlineStr">
        <is>
          <t>Getting product to the customer and back: courier, 3PL pick-pack, RTO charges, COD collection fee, shipping cartons.</t>
        </is>
      </c>
      <c r="E12" s="4" t="inlineStr">
        <is>
          <t>Shiprocket / Delhivery / Bluedart invoices for the month excl. GST, plus shipper cartons and fillers. Amazon: FBA fulfilment fee.</t>
        </is>
      </c>
      <c r="F12" s="4" t="inlineStr">
        <is>
          <t>Leaving out reverse and RTO charges, which can be 30–50% of forward cost in COD-heavy or apparel businesses.</t>
        </is>
      </c>
    </row>
    <row r="13">
      <c r="A13" s="4" t="inlineStr">
        <is>
          <t>Website</t>
        </is>
      </c>
      <c r="B13" s="4" t="inlineStr">
        <is>
          <t>FULFILMENT &amp; CHANNEL COSTS</t>
        </is>
      </c>
      <c r="C13" s="4" t="inlineStr">
        <is>
          <t>Less: shipping &amp; COD fees collected from customers</t>
        </is>
      </c>
      <c r="D13" s="4" t="inlineStr">
        <is>
          <t>Fees customers paid you for delivery or COD, netted against logistics.</t>
        </is>
      </c>
      <c r="E13" s="4" t="inlineStr">
        <is>
          <t>Shopify › Analytics › Shipping charges, plus COD handling fees charged to customers. Enter as a positive number; the sheet subtracts it.</t>
        </is>
      </c>
      <c r="F13" s="4" t="inlineStr">
        <is>
          <t>Entering it as a negative. Enter positive; the formula subtracts.</t>
        </is>
      </c>
    </row>
    <row r="14">
      <c r="A14" s="4" t="inlineStr">
        <is>
          <t>Website</t>
        </is>
      </c>
      <c r="B14" s="4" t="inlineStr">
        <is>
          <t>FULFILMENT &amp; CHANNEL COSTS</t>
        </is>
      </c>
      <c r="C14" s="4" t="inlineStr">
        <is>
          <t>Warehousing &amp; operations (rent, staff, packing labour)</t>
        </is>
      </c>
      <c r="D14" s="4" t="inlineStr">
        <is>
          <t>Cost of storing and handling stock, before it ships.</t>
        </is>
      </c>
      <c r="E14" s="4" t="inlineStr">
        <is>
          <t>Warehouse rent, warehouse staff, packing consumables for the month. If shared across channels, split by orders.</t>
        </is>
      </c>
      <c r="F14" s="4" t="inlineStr">
        <is>
          <t>Putting warehouse staff under Salaries. They scale with orders, so they belong here.</t>
        </is>
      </c>
    </row>
    <row r="15">
      <c r="A15" s="4" t="inlineStr">
        <is>
          <t>Website</t>
        </is>
      </c>
      <c r="B15" s="4" t="inlineStr">
        <is>
          <t>FULFILMENT &amp; CHANNEL COSTS</t>
        </is>
      </c>
      <c r="C15" s="4" t="inlineStr">
        <is>
          <t>Payment gateway charges</t>
        </is>
      </c>
      <c r="D15" s="4" t="inlineStr">
        <is>
          <t>What the gateway kept from prepaid collections.</t>
        </is>
      </c>
      <c r="E15" s="4" t="inlineStr">
        <is>
          <t>Razorpay / PayU / Cashfree statement › fees for the month excl. GST. Typically 1.8–2.2% of prepaid collections.</t>
        </is>
      </c>
      <c r="F15" s="4" t="inlineStr">
        <is>
          <t>Ignoring it because the payout arrives net. Gross up collections and show the fee.</t>
        </is>
      </c>
    </row>
    <row r="16">
      <c r="A16" s="4" t="inlineStr">
        <is>
          <t>Website</t>
        </is>
      </c>
      <c r="B16" s="4" t="inlineStr">
        <is>
          <t>FULFILMENT &amp; CHANNEL COSTS</t>
        </is>
      </c>
      <c r="C16" s="4" t="inlineStr">
        <is>
          <t>CONTRIBUTION MARGIN 1 (CM1)</t>
        </is>
      </c>
      <c r="D16" s="4" t="inlineStr">
        <is>
          <t>Margin after getting the product to the customer and paying the channel. What is left to pay for marketing.</t>
        </is>
      </c>
      <c r="E16" s="4" t="inlineStr"/>
      <c r="F16" s="4" t="inlineStr"/>
    </row>
    <row r="17">
      <c r="A17" s="4" t="inlineStr">
        <is>
          <t>Website</t>
        </is>
      </c>
      <c r="B17" s="4" t="inlineStr">
        <is>
          <t>MARKETING &amp; SELLING</t>
        </is>
      </c>
      <c r="C17" s="4" t="inlineStr">
        <is>
          <t>Performance marketing (Meta, Google, affiliates)</t>
        </is>
      </c>
      <c r="D17" s="4" t="inlineStr">
        <is>
          <t>Paid media and channel advertising that drives this channel's sales this month, excluding GST (you claim the input credit).</t>
        </is>
      </c>
      <c r="E17" s="4" t="inlineStr">
        <is>
          <t>Meta Ads Manager and Google Ads billing for the month, excluding GST. Add affiliate and influencer payouts tied to sales.</t>
        </is>
      </c>
      <c r="F17" s="4" t="inlineStr">
        <is>
          <t>Entering the GST-inclusive invoice. Also: agency retainers and content production are brand costs on the Consolidated tab, not here.</t>
        </is>
      </c>
    </row>
    <row r="18">
      <c r="A18" s="4" t="inlineStr">
        <is>
          <t>Website</t>
        </is>
      </c>
      <c r="B18" s="4" t="inlineStr">
        <is>
          <t>MARKETING &amp; SELLING</t>
        </is>
      </c>
      <c r="C18" s="4" t="inlineStr">
        <is>
          <t>CONTRIBUTION MARGIN 2 (CM2)</t>
        </is>
      </c>
      <c r="D18" s="4" t="inlineStr">
        <is>
          <t>Margin after channel-level marketing and selling costs. Positive CM2 means the channel pays for its own growth.</t>
        </is>
      </c>
      <c r="E18" s="4" t="inlineStr"/>
      <c r="F18" s="4" t="inlineStr"/>
    </row>
    <row r="19">
      <c r="A19" s="4" t="inlineStr">
        <is>
          <t>Website</t>
        </is>
      </c>
      <c r="B19" s="4" t="inlineStr">
        <is>
          <t>MEMO</t>
        </is>
      </c>
      <c r="C19" s="4" t="inlineStr">
        <is>
          <t>Orders shipped (count)</t>
        </is>
      </c>
      <c r="D19" s="4" t="inlineStr">
        <is>
          <t>Number of orders that went out. Used for AOV.</t>
        </is>
      </c>
      <c r="E19" s="4" t="inlineStr">
        <is>
          <t>Shopify › Orders (fulfilled) or marketplace › Orders shipped. Offline / Qcom: units or cases invoiced.</t>
        </is>
      </c>
      <c r="F19" s="4" t="inlineStr">
        <is>
          <t>Counting orders placed rather than shipped; cancellations inflate it.</t>
        </is>
      </c>
    </row>
    <row r="20">
      <c r="A20" s="4" t="inlineStr">
        <is>
          <t>Website</t>
        </is>
      </c>
      <c r="B20" s="4" t="inlineStr">
        <is>
          <t>MEMO</t>
        </is>
      </c>
      <c r="C20" s="4" t="inlineStr">
        <is>
          <t>Average order value incl. GST</t>
        </is>
      </c>
      <c r="D20" s="4" t="inlineStr">
        <is>
          <t>GMV per shipped order.</t>
        </is>
      </c>
      <c r="E20" s="4" t="inlineStr"/>
      <c r="F20" s="4" t="inlineStr"/>
    </row>
    <row r="21">
      <c r="A21" s="4" t="inlineStr">
        <is>
          <t>Website</t>
        </is>
      </c>
      <c r="B21" s="4" t="inlineStr">
        <is>
          <t>MEMO</t>
        </is>
      </c>
      <c r="C21" s="4" t="inlineStr">
        <is>
          <t>RoAS (net sales ÷ marketing)</t>
        </is>
      </c>
      <c r="D21" s="4" t="inlineStr">
        <is>
          <t>Net sales generated per rupee of marketing in this channel. Below 1.5× on a website channel is a red flag unless the brand is very new.</t>
        </is>
      </c>
      <c r="E21" s="4" t="inlineStr"/>
      <c r="F21" s="4" t="inlineStr"/>
    </row>
    <row r="22">
      <c r="A22" s="4" t="inlineStr">
        <is>
          <t>Quick Commerce</t>
        </is>
      </c>
      <c r="B22" s="4" t="inlineStr">
        <is>
          <t>REVENUE</t>
        </is>
      </c>
      <c r="C22" s="4" t="inlineStr">
        <is>
          <t>Gross sales (GMV) incl. GST</t>
        </is>
      </c>
      <c r="D22" s="4" t="inlineStr">
        <is>
          <t>Everything customers ordered and you shipped this month, valued at the price they paid before any discount, including GST.</t>
        </is>
      </c>
      <c r="E22" s="4" t="inlineStr">
        <is>
          <t>Partner dashboard › GMV at MRP incl. GST for the month.</t>
        </is>
      </c>
      <c r="F22" s="4" t="inlineStr">
        <is>
          <t>Entering Shopify 'Total sales' (already net of discounts and returns) or entering values excluding GST. Enter the gross, GST-inclusive number and let the sheet deduct.</t>
        </is>
      </c>
    </row>
    <row r="23">
      <c r="A23" s="4" t="inlineStr">
        <is>
          <t>Quick Commerce</t>
        </is>
      </c>
      <c r="B23" s="4" t="inlineStr">
        <is>
          <t>REVENUE</t>
        </is>
      </c>
      <c r="C23" s="4" t="inlineStr">
        <is>
          <t>Consumer discounts &amp; coupons</t>
        </is>
      </c>
      <c r="D23" s="4" t="inlineStr">
        <is>
          <t>Discounts the shopper saw at checkout: coupon codes, automatic discounts, sale price-offs. Funded by you.</t>
        </is>
      </c>
      <c r="E23" s="4" t="inlineStr">
        <is>
          <t>Leave blank here if you enter brand-funded promos on the Consumer promotions line.</t>
        </is>
      </c>
      <c r="F23" s="4" t="inlineStr">
        <is>
          <t>Mixing platform commission in here. Commission is what the platform keeps; discounts are what the customer did not pay.</t>
        </is>
      </c>
    </row>
    <row r="24">
      <c r="A24" s="4" t="inlineStr">
        <is>
          <t>Quick Commerce</t>
        </is>
      </c>
      <c r="B24" s="4" t="inlineStr">
        <is>
          <t>REVENUE</t>
        </is>
      </c>
      <c r="C24" s="4" t="inlineStr">
        <is>
          <t>Quick-commerce partner margin</t>
        </is>
      </c>
      <c r="D24" s="4" t="inlineStr">
        <is>
          <t>The partner's margin when they buy your stock or raise a purchase order: MRP less what you invoice them.</t>
        </is>
      </c>
      <c r="E24" s="4" t="inlineStr">
        <is>
          <t>MRP less your invoice price to the partner, per the trade agreement (typically 25–40%).</t>
        </is>
      </c>
      <c r="F24" s="4" t="inlineStr">
        <is>
          <t>Forgetting this line makes GM% look like a website channel. If your invoice already excludes it, GMV must be grossed up to MRP or the line stays zero.</t>
        </is>
      </c>
    </row>
    <row r="25">
      <c r="A25" s="4" t="inlineStr">
        <is>
          <t>Quick Commerce</t>
        </is>
      </c>
      <c r="B25" s="4" t="inlineStr">
        <is>
          <t>REVENUE</t>
        </is>
      </c>
      <c r="C25" s="4" t="inlineStr">
        <is>
          <t>Returns, RTO &amp; cancellations after dispatch</t>
        </is>
      </c>
      <c r="D25" s="4" t="inlineStr">
        <is>
          <t>Value (at selling price incl. GST) of orders that came back: undelivered COD (RTO), customer returns, cancellations after dispatch.</t>
        </is>
      </c>
      <c r="E25" s="4" t="inlineStr">
        <is>
          <t>Expiry or damage returns reversed on the PO. Usually near zero.</t>
        </is>
      </c>
      <c r="F25" s="4" t="inlineStr">
        <is>
          <t>Counting only refunds. RTO on COD orders is the bigger number for most website channels and never shows as a refund.</t>
        </is>
      </c>
    </row>
    <row r="26">
      <c r="A26" s="4" t="inlineStr">
        <is>
          <t>Quick Commerce</t>
        </is>
      </c>
      <c r="B26" s="4" t="inlineStr">
        <is>
          <t>REVENUE</t>
        </is>
      </c>
      <c r="C26" s="4" t="inlineStr">
        <is>
          <t>Net revenue before GST</t>
        </is>
      </c>
      <c r="D26" s="4" t="inlineStr">
        <is>
          <t>What is left after discounts, partner margin and returns. Still includes GST.</t>
        </is>
      </c>
      <c r="E26" s="4" t="inlineStr"/>
      <c r="F26" s="4" t="inlineStr"/>
    </row>
    <row r="27">
      <c r="A27" s="4" t="inlineStr">
        <is>
          <t>Quick Commerce</t>
        </is>
      </c>
      <c r="B27" s="4" t="inlineStr">
        <is>
          <t>REVENUE</t>
        </is>
      </c>
      <c r="C27" s="4" t="inlineStr">
        <is>
          <t>Less: GST (output tax)</t>
        </is>
      </c>
      <c r="D27" s="4" t="inlineStr">
        <is>
          <t>GST collected on your net revenue, at the rate set on Start Here for this channel. Overwrite with your GSTR-1 figure if you have it.</t>
        </is>
      </c>
      <c r="E27" s="4" t="inlineStr"/>
      <c r="F27" s="4" t="inlineStr">
        <is>
          <t>Deducting GST as a percentage of the gross number instead of backing it out (÷ 1.18, not × 0.18).</t>
        </is>
      </c>
    </row>
    <row r="28">
      <c r="A28" s="4" t="inlineStr">
        <is>
          <t>Quick Commerce</t>
        </is>
      </c>
      <c r="B28" s="4" t="inlineStr">
        <is>
          <t>REVENUE</t>
        </is>
      </c>
      <c r="C28" s="4" t="inlineStr">
        <is>
          <t>NET SALES (post GST)</t>
        </is>
      </c>
      <c r="D28" s="4" t="inlineStr">
        <is>
          <t>The number every ratio below is measured against. Investors call it net sales, NSR or NMV.</t>
        </is>
      </c>
      <c r="E28" s="4" t="inlineStr"/>
      <c r="F28" s="4" t="inlineStr"/>
    </row>
    <row r="29">
      <c r="A29" s="4" t="inlineStr">
        <is>
          <t>Quick Commerce</t>
        </is>
      </c>
      <c r="B29" s="4" t="inlineStr">
        <is>
          <t>REVENUE</t>
        </is>
      </c>
      <c r="C29" s="4" t="inlineStr">
        <is>
          <t>Consumer promotions funded by brand</t>
        </is>
      </c>
      <c r="D29" s="4" t="inlineStr">
        <is>
          <t>Price-offs the shopper sees on the quick-commerce app that you fund, per the partner's debit note.</t>
        </is>
      </c>
      <c r="E29" s="4" t="inlineStr">
        <is>
          <t>Partner's debit note for brand-funded discounts, or dashboard › Promotions › brand share.</t>
        </is>
      </c>
      <c r="F29" s="4" t="inlineStr">
        <is>
          <t>Leaving it inside 'discounts' when the partner also funds part of the promo. Enter only your share.</t>
        </is>
      </c>
    </row>
    <row r="30">
      <c r="A30" s="4" t="inlineStr">
        <is>
          <t>Quick Commerce</t>
        </is>
      </c>
      <c r="B30" s="4" t="inlineStr">
        <is>
          <t>REVENUE</t>
        </is>
      </c>
      <c r="C30" s="4" t="inlineStr">
        <is>
          <t>Net sales after brand-funded promotions</t>
        </is>
      </c>
      <c r="D30" s="4" t="inlineStr">
        <is>
          <t>Net sales after the promotions you fund. Gross margin is measured from here.</t>
        </is>
      </c>
      <c r="E30" s="4" t="inlineStr"/>
      <c r="F30" s="4" t="inlineStr"/>
    </row>
    <row r="31">
      <c r="A31" s="4" t="inlineStr">
        <is>
          <t>Quick Commerce</t>
        </is>
      </c>
      <c r="B31" s="4" t="inlineStr">
        <is>
          <t>COST OF GOODS</t>
        </is>
      </c>
      <c r="C31" s="4" t="inlineStr">
        <is>
          <t>Cost of goods sold (product + conversion + primary packaging)</t>
        </is>
      </c>
      <c r="D31" s="4" t="inlineStr">
        <is>
          <t>The cost of the units you actually sold: product, manufacturing or job-work, and the packaging that touches the product.</t>
        </is>
      </c>
      <c r="E31" s="4" t="inlineStr">
        <is>
          <t>Contract-manufactured: product cost + primary packaging per unit × units sold this month. Include the cost of testers and samples given away.</t>
        </is>
      </c>
      <c r="F31" s="4" t="inlineStr">
        <is>
          <t>Entering this month's purchases or factory bills. Purchases go to inventory; COGS is only what left the warehouse as sales. Secondary packaging (shippers, fillers) goes in Logistics.</t>
        </is>
      </c>
    </row>
    <row r="32">
      <c r="A32" s="4" t="inlineStr">
        <is>
          <t>Quick Commerce</t>
        </is>
      </c>
      <c r="B32" s="4" t="inlineStr">
        <is>
          <t>COST OF GOODS</t>
        </is>
      </c>
      <c r="C32" s="4" t="inlineStr">
        <is>
          <t>GROSS MARGIN</t>
        </is>
      </c>
      <c r="D32" s="4" t="inlineStr">
        <is>
          <t>Net sales less cost of goods. The first number an investor looks at.</t>
        </is>
      </c>
      <c r="E32" s="4" t="inlineStr"/>
      <c r="F32" s="4" t="inlineStr"/>
    </row>
    <row r="33">
      <c r="A33" s="4" t="inlineStr">
        <is>
          <t>Quick Commerce</t>
        </is>
      </c>
      <c r="B33" s="4" t="inlineStr">
        <is>
          <t>FULFILMENT &amp; CHANNEL COSTS</t>
        </is>
      </c>
      <c r="C33" s="4" t="inlineStr">
        <is>
          <t>Logistics: forward, reverse, RTO &amp; COD charges, secondary packaging</t>
        </is>
      </c>
      <c r="D33" s="4" t="inlineStr">
        <is>
          <t>Getting product to the customer and back: courier, 3PL pick-pack, RTO charges, COD collection fee, shipping cartons.</t>
        </is>
      </c>
      <c r="E33" s="4" t="inlineStr">
        <is>
          <t>Shiprocket / Delhivery / Bluedart invoices for the month excl. GST, plus shipper cartons and fillers. Amazon: FBA fulfilment fee.</t>
        </is>
      </c>
      <c r="F33" s="4" t="inlineStr">
        <is>
          <t>Leaving out reverse and RTO charges, which can be 30–50% of forward cost in COD-heavy or apparel businesses.</t>
        </is>
      </c>
    </row>
    <row r="34">
      <c r="A34" s="4" t="inlineStr">
        <is>
          <t>Quick Commerce</t>
        </is>
      </c>
      <c r="B34" s="4" t="inlineStr">
        <is>
          <t>FULFILMENT &amp; CHANNEL COSTS</t>
        </is>
      </c>
      <c r="C34" s="4" t="inlineStr">
        <is>
          <t>Warehousing &amp; operations (rent, staff, packing labour)</t>
        </is>
      </c>
      <c r="D34" s="4" t="inlineStr">
        <is>
          <t>Cost of storing and handling stock, before it ships.</t>
        </is>
      </c>
      <c r="E34" s="4" t="inlineStr">
        <is>
          <t>Warehouse rent, warehouse staff, packing consumables for the month. If shared across channels, split by orders.</t>
        </is>
      </c>
      <c r="F34" s="4" t="inlineStr">
        <is>
          <t>Putting warehouse staff under Salaries. They scale with orders, so they belong here.</t>
        </is>
      </c>
    </row>
    <row r="35">
      <c r="A35" s="4" t="inlineStr">
        <is>
          <t>Quick Commerce</t>
        </is>
      </c>
      <c r="B35" s="4" t="inlineStr">
        <is>
          <t>FULFILMENT &amp; CHANNEL COSTS</t>
        </is>
      </c>
      <c r="C35" s="4" t="inlineStr">
        <is>
          <t>CONTRIBUTION MARGIN 1 (CM1)</t>
        </is>
      </c>
      <c r="D35" s="4" t="inlineStr">
        <is>
          <t>Margin after getting the product to the customer and paying the channel. What is left to pay for marketing.</t>
        </is>
      </c>
      <c r="E35" s="4" t="inlineStr"/>
      <c r="F35" s="4" t="inlineStr"/>
    </row>
    <row r="36">
      <c r="A36" s="4" t="inlineStr">
        <is>
          <t>Quick Commerce</t>
        </is>
      </c>
      <c r="B36" s="4" t="inlineStr">
        <is>
          <t>MARKETING &amp; SELLING</t>
        </is>
      </c>
      <c r="C36" s="4" t="inlineStr">
        <is>
          <t>Quick-commerce ads (sponsored listings)</t>
        </is>
      </c>
      <c r="D36" s="4" t="inlineStr">
        <is>
          <t>Paid media and channel advertising that drives this channel's sales this month, excluding GST (you claim the input credit).</t>
        </is>
      </c>
      <c r="E36" s="4" t="inlineStr">
        <is>
          <t>Blinkit / Zepto / Instamart brand dashboard › Ads › spend excluding GST.</t>
        </is>
      </c>
      <c r="F36" s="4" t="inlineStr">
        <is>
          <t>Entering the GST-inclusive invoice. Also: agency retainers and content production are brand costs on the Consolidated tab, not here.</t>
        </is>
      </c>
    </row>
    <row r="37">
      <c r="A37" s="4" t="inlineStr">
        <is>
          <t>Quick Commerce</t>
        </is>
      </c>
      <c r="B37" s="4" t="inlineStr">
        <is>
          <t>MARKETING &amp; SELLING</t>
        </is>
      </c>
      <c r="C37" s="4" t="inlineStr">
        <is>
          <t>CONTRIBUTION MARGIN 2 (CM2)</t>
        </is>
      </c>
      <c r="D37" s="4" t="inlineStr">
        <is>
          <t>Margin after channel-level marketing and selling costs. Positive CM2 means the channel pays for its own growth.</t>
        </is>
      </c>
      <c r="E37" s="4" t="inlineStr"/>
      <c r="F37" s="4" t="inlineStr"/>
    </row>
    <row r="38">
      <c r="A38" s="4" t="inlineStr">
        <is>
          <t>Quick Commerce</t>
        </is>
      </c>
      <c r="B38" s="4" t="inlineStr">
        <is>
          <t>MEMO</t>
        </is>
      </c>
      <c r="C38" s="4" t="inlineStr">
        <is>
          <t>Orders shipped (count)</t>
        </is>
      </c>
      <c r="D38" s="4" t="inlineStr">
        <is>
          <t>Number of orders that went out. Used for AOV.</t>
        </is>
      </c>
      <c r="E38" s="4" t="inlineStr">
        <is>
          <t>Shopify › Orders (fulfilled) or marketplace › Orders shipped. Offline / Qcom: units or cases invoiced.</t>
        </is>
      </c>
      <c r="F38" s="4" t="inlineStr">
        <is>
          <t>Counting orders placed rather than shipped; cancellations inflate it.</t>
        </is>
      </c>
    </row>
    <row r="39">
      <c r="A39" s="4" t="inlineStr">
        <is>
          <t>Quick Commerce</t>
        </is>
      </c>
      <c r="B39" s="4" t="inlineStr">
        <is>
          <t>MEMO</t>
        </is>
      </c>
      <c r="C39" s="4" t="inlineStr">
        <is>
          <t>Average order value incl. GST</t>
        </is>
      </c>
      <c r="D39" s="4" t="inlineStr">
        <is>
          <t>GMV per shipped order.</t>
        </is>
      </c>
      <c r="E39" s="4" t="inlineStr"/>
      <c r="F39" s="4" t="inlineStr"/>
    </row>
    <row r="40">
      <c r="A40" s="4" t="inlineStr">
        <is>
          <t>Quick Commerce</t>
        </is>
      </c>
      <c r="B40" s="4" t="inlineStr">
        <is>
          <t>MEMO</t>
        </is>
      </c>
      <c r="C40" s="4" t="inlineStr">
        <is>
          <t>RoAS (net sales ÷ marketing)</t>
        </is>
      </c>
      <c r="D40" s="4" t="inlineStr">
        <is>
          <t>Net sales generated per rupee of marketing in this channel. Below 1.5× on a website channel is a red flag unless the brand is very new.</t>
        </is>
      </c>
      <c r="E40" s="4" t="inlineStr"/>
      <c r="F40" s="4" t="inlineStr"/>
    </row>
    <row r="41">
      <c r="A41" s="4" t="inlineStr">
        <is>
          <t>Consolidated P&amp;L</t>
        </is>
      </c>
      <c r="B41" s="4" t="inlineStr">
        <is>
          <t>REVENUE</t>
        </is>
      </c>
      <c r="C41" s="4" t="inlineStr">
        <is>
          <t>Gross sales (GMV) incl. GST</t>
        </is>
      </c>
      <c r="D41" s="4" t="inlineStr">
        <is>
          <t>Everything customers ordered and you shipped this month, valued at the price they paid before any discount, including GST.</t>
        </is>
      </c>
      <c r="E41" s="4" t="inlineStr"/>
      <c r="F41" s="4" t="inlineStr"/>
    </row>
    <row r="42">
      <c r="A42" s="4" t="inlineStr">
        <is>
          <t>Consolidated P&amp;L</t>
        </is>
      </c>
      <c r="B42" s="4" t="inlineStr">
        <is>
          <t>REVENUE</t>
        </is>
      </c>
      <c r="C42" s="4" t="inlineStr">
        <is>
          <t>Consumer discounts &amp; coupons</t>
        </is>
      </c>
      <c r="D42" s="4" t="inlineStr">
        <is>
          <t>Discounts the shopper saw at checkout: coupon codes, automatic discounts, sale price-offs. Funded by you.</t>
        </is>
      </c>
      <c r="E42" s="4" t="inlineStr"/>
      <c r="F42" s="4" t="inlineStr"/>
    </row>
    <row r="43">
      <c r="A43" s="4" t="inlineStr">
        <is>
          <t>Consolidated P&amp;L</t>
        </is>
      </c>
      <c r="B43" s="4" t="inlineStr">
        <is>
          <t>REVENUE</t>
        </is>
      </c>
      <c r="C43" s="4" t="inlineStr">
        <is>
          <t>Channel / partner margins (netted channels)</t>
        </is>
      </c>
      <c r="D43" s="4" t="inlineStr">
        <is>
          <t>The partner's margin when they buy your stock or raise a purchase order: MRP less what you invoice them.</t>
        </is>
      </c>
      <c r="E43" s="4" t="inlineStr"/>
      <c r="F43" s="4" t="inlineStr"/>
    </row>
    <row r="44">
      <c r="A44" s="4" t="inlineStr">
        <is>
          <t>Consolidated P&amp;L</t>
        </is>
      </c>
      <c r="B44" s="4" t="inlineStr">
        <is>
          <t>REVENUE</t>
        </is>
      </c>
      <c r="C44" s="4" t="inlineStr">
        <is>
          <t>Returns, RTO &amp; cancellations after dispatch</t>
        </is>
      </c>
      <c r="D44" s="4" t="inlineStr">
        <is>
          <t>Value (at selling price incl. GST) of orders that came back: undelivered COD (RTO), customer returns, cancellations after dispatch.</t>
        </is>
      </c>
      <c r="E44" s="4" t="inlineStr"/>
      <c r="F44" s="4" t="inlineStr"/>
    </row>
    <row r="45">
      <c r="A45" s="4" t="inlineStr">
        <is>
          <t>Consolidated P&amp;L</t>
        </is>
      </c>
      <c r="B45" s="4" t="inlineStr">
        <is>
          <t>REVENUE</t>
        </is>
      </c>
      <c r="C45" s="4" t="inlineStr">
        <is>
          <t>Net revenue before GST</t>
        </is>
      </c>
      <c r="D45" s="4" t="inlineStr">
        <is>
          <t>What is left after discounts, partner margin and returns. Still includes GST.</t>
        </is>
      </c>
      <c r="E45" s="4" t="inlineStr"/>
      <c r="F45" s="4" t="inlineStr"/>
    </row>
    <row r="46">
      <c r="A46" s="4" t="inlineStr">
        <is>
          <t>Consolidated P&amp;L</t>
        </is>
      </c>
      <c r="B46" s="4" t="inlineStr">
        <is>
          <t>REVENUE</t>
        </is>
      </c>
      <c r="C46" s="4" t="inlineStr">
        <is>
          <t>Less: GST (output tax)</t>
        </is>
      </c>
      <c r="D46" s="4" t="inlineStr">
        <is>
          <t>GST collected on your net revenue, at the rate set on Start Here for this channel. Overwrite with your GSTR-1 figure if you have it.</t>
        </is>
      </c>
      <c r="E46" s="4" t="inlineStr"/>
      <c r="F46" s="4" t="inlineStr"/>
    </row>
    <row r="47">
      <c r="A47" s="4" t="inlineStr">
        <is>
          <t>Consolidated P&amp;L</t>
        </is>
      </c>
      <c r="B47" s="4" t="inlineStr">
        <is>
          <t>REVENUE</t>
        </is>
      </c>
      <c r="C47" s="4" t="inlineStr">
        <is>
          <t>NET SALES (post GST)</t>
        </is>
      </c>
      <c r="D47" s="4" t="inlineStr">
        <is>
          <t>The number every ratio below is measured against. Investors call it net sales, NSR or NMV.</t>
        </is>
      </c>
      <c r="E47" s="4" t="inlineStr"/>
      <c r="F47" s="4" t="inlineStr"/>
    </row>
    <row r="48">
      <c r="A48" s="4" t="inlineStr">
        <is>
          <t>Consolidated P&amp;L</t>
        </is>
      </c>
      <c r="B48" s="4" t="inlineStr">
        <is>
          <t>REVENUE</t>
        </is>
      </c>
      <c r="C48" s="4" t="inlineStr">
        <is>
          <t>Consumer promotions funded by brand (deduction)</t>
        </is>
      </c>
      <c r="D48" s="4" t="inlineStr">
        <is>
          <t>Price-offs the shopper sees on the quick-commerce app that you fund, per the partner's debit note.</t>
        </is>
      </c>
      <c r="E48" s="4" t="inlineStr"/>
      <c r="F48" s="4" t="inlineStr"/>
    </row>
    <row r="49">
      <c r="A49" s="4" t="inlineStr">
        <is>
          <t>Consolidated P&amp;L</t>
        </is>
      </c>
      <c r="B49" s="4" t="inlineStr">
        <is>
          <t>REVENUE</t>
        </is>
      </c>
      <c r="C49" s="4" t="inlineStr">
        <is>
          <t>Net sales after brand-funded promotions</t>
        </is>
      </c>
      <c r="D49" s="4" t="inlineStr">
        <is>
          <t>Net sales after the promotions you fund. Gross margin is measured from here.</t>
        </is>
      </c>
      <c r="E49" s="4" t="inlineStr"/>
      <c r="F49" s="4" t="inlineStr"/>
    </row>
    <row r="50">
      <c r="A50" s="4" t="inlineStr">
        <is>
          <t>Consolidated P&amp;L</t>
        </is>
      </c>
      <c r="B50" s="4" t="inlineStr">
        <is>
          <t>COST OF GOODS</t>
        </is>
      </c>
      <c r="C50" s="4" t="inlineStr">
        <is>
          <t>Cost of goods sold (product + conversion + primary packaging)</t>
        </is>
      </c>
      <c r="D50" s="4" t="inlineStr">
        <is>
          <t>The cost of the units you actually sold: product, manufacturing or job-work, and the packaging that touches the product.</t>
        </is>
      </c>
      <c r="E50" s="4" t="inlineStr"/>
      <c r="F50" s="4" t="inlineStr"/>
    </row>
    <row r="51">
      <c r="A51" s="4" t="inlineStr">
        <is>
          <t>Consolidated P&amp;L</t>
        </is>
      </c>
      <c r="B51" s="4" t="inlineStr">
        <is>
          <t>COST OF GOODS</t>
        </is>
      </c>
      <c r="C51" s="4" t="inlineStr">
        <is>
          <t>GROSS MARGIN</t>
        </is>
      </c>
      <c r="D51" s="4" t="inlineStr">
        <is>
          <t>Net sales less cost of goods. The first number an investor looks at.</t>
        </is>
      </c>
      <c r="E51" s="4" t="inlineStr"/>
      <c r="F51" s="4" t="inlineStr"/>
    </row>
    <row r="52">
      <c r="A52" s="4" t="inlineStr">
        <is>
          <t>Consolidated P&amp;L</t>
        </is>
      </c>
      <c r="B52" s="4" t="inlineStr">
        <is>
          <t>FULFILMENT &amp; CHANNEL COSTS</t>
        </is>
      </c>
      <c r="C52" s="4" t="inlineStr">
        <is>
          <t>Logistics: forward, reverse, RTO &amp; COD charges, secondary packaging</t>
        </is>
      </c>
      <c r="D52" s="4" t="inlineStr">
        <is>
          <t>Getting product to the customer and back: courier, 3PL pick-pack, RTO charges, COD collection fee, shipping cartons.</t>
        </is>
      </c>
      <c r="E52" s="4" t="inlineStr"/>
      <c r="F52" s="4" t="inlineStr"/>
    </row>
    <row r="53">
      <c r="A53" s="4" t="inlineStr">
        <is>
          <t>Consolidated P&amp;L</t>
        </is>
      </c>
      <c r="B53" s="4" t="inlineStr">
        <is>
          <t>FULFILMENT &amp; CHANNEL COSTS</t>
        </is>
      </c>
      <c r="C53" s="4" t="inlineStr">
        <is>
          <t>Less: shipping &amp; COD fees collected from customers</t>
        </is>
      </c>
      <c r="D53" s="4" t="inlineStr">
        <is>
          <t>Fees customers paid you for delivery or COD, netted against logistics.</t>
        </is>
      </c>
      <c r="E53" s="4" t="inlineStr"/>
      <c r="F53" s="4" t="inlineStr"/>
    </row>
    <row r="54">
      <c r="A54" s="4" t="inlineStr">
        <is>
          <t>Consolidated P&amp;L</t>
        </is>
      </c>
      <c r="B54" s="4" t="inlineStr">
        <is>
          <t>FULFILMENT &amp; CHANNEL COSTS</t>
        </is>
      </c>
      <c r="C54" s="4" t="inlineStr">
        <is>
          <t>Warehousing &amp; operations (rent, staff, packing labour)</t>
        </is>
      </c>
      <c r="D54" s="4" t="inlineStr">
        <is>
          <t>Cost of storing and handling stock, before it ships.</t>
        </is>
      </c>
      <c r="E54" s="4" t="inlineStr"/>
      <c r="F54" s="4" t="inlineStr"/>
    </row>
    <row r="55">
      <c r="A55" s="4" t="inlineStr">
        <is>
          <t>Consolidated P&amp;L</t>
        </is>
      </c>
      <c r="B55" s="4" t="inlineStr">
        <is>
          <t>FULFILMENT &amp; CHANNEL COSTS</t>
        </is>
      </c>
      <c r="C55" s="4" t="inlineStr">
        <is>
          <t>Payment gateway charges</t>
        </is>
      </c>
      <c r="D55" s="4" t="inlineStr">
        <is>
          <t>What the gateway kept from prepaid collections.</t>
        </is>
      </c>
      <c r="E55" s="4" t="inlineStr"/>
      <c r="F55" s="4" t="inlineStr"/>
    </row>
    <row r="56">
      <c r="A56" s="4" t="inlineStr">
        <is>
          <t>Consolidated P&amp;L</t>
        </is>
      </c>
      <c r="B56" s="4" t="inlineStr">
        <is>
          <t>FULFILMENT &amp; CHANNEL COSTS</t>
        </is>
      </c>
      <c r="C56" s="4" t="inlineStr">
        <is>
          <t>CONTRIBUTION MARGIN 1 (CM1)</t>
        </is>
      </c>
      <c r="D56" s="4" t="inlineStr">
        <is>
          <t>Margin after getting the product to the customer and paying the channel. What is left to pay for marketing.</t>
        </is>
      </c>
      <c r="E56" s="4" t="inlineStr"/>
      <c r="F56" s="4" t="inlineStr"/>
    </row>
    <row r="57">
      <c r="A57" s="4" t="inlineStr">
        <is>
          <t>Consolidated P&amp;L</t>
        </is>
      </c>
      <c r="B57" s="4" t="inlineStr">
        <is>
          <t>MARKETING &amp; SELLING</t>
        </is>
      </c>
      <c r="C57" s="4" t="inlineStr">
        <is>
          <t>Performance &amp; channel marketing (all channels)</t>
        </is>
      </c>
      <c r="D57" s="4" t="inlineStr">
        <is>
          <t>Paid media and channel advertising that drives this channel's sales this month, excluding GST (you claim the input credit).</t>
        </is>
      </c>
      <c r="E57" s="4" t="inlineStr"/>
      <c r="F57" s="4" t="inlineStr"/>
    </row>
    <row r="58">
      <c r="A58" s="4" t="inlineStr">
        <is>
          <t>Consolidated P&amp;L</t>
        </is>
      </c>
      <c r="B58" s="4" t="inlineStr">
        <is>
          <t>MARKETING &amp; SELLING</t>
        </is>
      </c>
      <c r="C58" s="4" t="inlineStr">
        <is>
          <t>CONTRIBUTION MARGIN 2 (CM2)</t>
        </is>
      </c>
      <c r="D58" s="4" t="inlineStr">
        <is>
          <t>Margin after channel-level marketing and selling costs. Positive CM2 means the channel pays for its own growth.</t>
        </is>
      </c>
      <c r="E58" s="4" t="inlineStr"/>
      <c r="F58" s="4" t="inlineStr"/>
    </row>
    <row r="59">
      <c r="A59" s="4" t="inlineStr">
        <is>
          <t>Consolidated P&amp;L</t>
        </is>
      </c>
      <c r="B59" s="4" t="inlineStr">
        <is>
          <t>AFTER CM2</t>
        </is>
      </c>
      <c r="C59" s="4" t="inlineStr">
        <is>
          <t>Brand marketing &amp; content (campaigns, shoots, influencer retainers, PR, agency)</t>
        </is>
      </c>
      <c r="D59" s="4" t="inlineStr">
        <is>
          <t>Marketing that builds the brand rather than a specific channel's sales this month.</t>
        </is>
      </c>
      <c r="E59" s="4" t="inlineStr">
        <is>
          <t>Agency retainers, photoshoots, influencer fees not tied to a sale, PR, brand campaigns. Excl. GST.</t>
        </is>
      </c>
      <c r="F59" s="4" t="inlineStr">
        <is>
          <t>Splitting it into channels by guesswork. Keep it here so CM2 by channel stays honest.</t>
        </is>
      </c>
    </row>
    <row r="60">
      <c r="A60" s="4" t="inlineStr">
        <is>
          <t>Consolidated P&amp;L</t>
        </is>
      </c>
      <c r="B60" s="4" t="inlineStr">
        <is>
          <t>AFTER CM2</t>
        </is>
      </c>
      <c r="C60" s="4" t="inlineStr">
        <is>
          <t>CONTRIBUTION MARGIN 3 (CM3)</t>
        </is>
      </c>
      <c r="D60" s="4" t="inlineStr">
        <is>
          <t>Margin after all marketing. This is the number that should turn positive first as you scale.</t>
        </is>
      </c>
      <c r="E60" s="4" t="inlineStr"/>
      <c r="F60" s="4" t="inlineStr"/>
    </row>
    <row r="61">
      <c r="A61" s="4" t="inlineStr">
        <is>
          <t>Consolidated P&amp;L</t>
        </is>
      </c>
      <c r="B61" s="4" t="inlineStr">
        <is>
          <t>FIXED COSTS</t>
        </is>
      </c>
      <c r="C61" s="4" t="inlineStr">
        <is>
          <t>People: salaries, contractors, founder pay, employee benefits</t>
        </is>
      </c>
      <c r="D61" s="4" t="inlineStr">
        <is>
          <t>Everyone on the team who is not in the warehouse or a store.</t>
        </is>
      </c>
      <c r="E61" s="4" t="inlineStr">
        <is>
          <t>Payroll for the month incl. PF/ESI and contractors. Exclude warehouse staff (Logistics) and store staff if entered in the offline channel.</t>
        </is>
      </c>
      <c r="F61" s="4" t="inlineStr">
        <is>
          <t>Leaving out founder salary because it is unpaid. Enter what you would pay; investors add it back anyway.</t>
        </is>
      </c>
    </row>
    <row r="62">
      <c r="A62" s="4" t="inlineStr">
        <is>
          <t>Consolidated P&amp;L</t>
        </is>
      </c>
      <c r="B62" s="4" t="inlineStr">
        <is>
          <t>FIXED COSTS</t>
        </is>
      </c>
      <c r="C62" s="4" t="inlineStr">
        <is>
          <t>Technology: Shopify, apps, SaaS, domains</t>
        </is>
      </c>
      <c r="D62" s="4" t="inlineStr">
        <is>
          <t>Software that runs the business.</t>
        </is>
      </c>
      <c r="E62" s="4" t="inlineStr">
        <is>
          <t>Shopify bill, app subscriptions, Zoho/Notion/Slack, hosting. Excl. GST.</t>
        </is>
      </c>
      <c r="F62" s="4" t="inlineStr">
        <is>
          <t>Putting Shopify transaction fees here; those are payment gateway costs.</t>
        </is>
      </c>
    </row>
    <row r="63">
      <c r="A63" s="4" t="inlineStr">
        <is>
          <t>Consolidated P&amp;L</t>
        </is>
      </c>
      <c r="B63" s="4" t="inlineStr">
        <is>
          <t>FIXED COSTS</t>
        </is>
      </c>
      <c r="C63" s="4" t="inlineStr">
        <is>
          <t>Office rent, utilities, travel &amp; admin</t>
        </is>
      </c>
      <c r="D63" s="4" t="inlineStr">
        <is>
          <t>Running the office.</t>
        </is>
      </c>
      <c r="E63" s="4" t="inlineStr">
        <is>
          <t>Office rent, electricity, internet, travel, meals, insurance, bank charges.</t>
        </is>
      </c>
      <c r="F63" s="4" t="inlineStr">
        <is>
          <t>Including warehouse rent, which belongs in Warehousing.</t>
        </is>
      </c>
    </row>
    <row r="64">
      <c r="A64" s="4" t="inlineStr">
        <is>
          <t>Consolidated P&amp;L</t>
        </is>
      </c>
      <c r="B64" s="4" t="inlineStr">
        <is>
          <t>FIXED COSTS</t>
        </is>
      </c>
      <c r="C64" s="4" t="inlineStr">
        <is>
          <t>Legal, accounting &amp; professional fees</t>
        </is>
      </c>
      <c r="D64" s="4" t="inlineStr">
        <is>
          <t>Professional advisers.</t>
        </is>
      </c>
      <c r="E64" s="4" t="inlineStr">
        <is>
          <t>CA, CS, lawyers, consultants.</t>
        </is>
      </c>
      <c r="F64" s="4" t="inlineStr">
        <is>
          <t>Including agency retainers, which are brand marketing.</t>
        </is>
      </c>
    </row>
    <row r="65">
      <c r="A65" s="4" t="inlineStr">
        <is>
          <t>Consolidated P&amp;L</t>
        </is>
      </c>
      <c r="B65" s="4" t="inlineStr">
        <is>
          <t>FIXED COSTS</t>
        </is>
      </c>
      <c r="C65" s="4" t="inlineStr">
        <is>
          <t>Sampling &amp; free product (not campaign-led)</t>
        </is>
      </c>
      <c r="D65" s="4" t="inlineStr">
        <is>
          <t>Product you did not sell and did not give as part of a specific campaign.</t>
        </is>
      </c>
      <c r="E65" s="4" t="inlineStr">
        <is>
          <t>Cost of units given away outside a brand campaign: PR seeding, gifting, trade samples.</t>
        </is>
      </c>
      <c r="F65" s="4" t="inlineStr">
        <is>
          <t>Leaving this inside COGS, which understates true gross margin.</t>
        </is>
      </c>
    </row>
    <row r="66">
      <c r="A66" s="4" t="inlineStr">
        <is>
          <t>Consolidated P&amp;L</t>
        </is>
      </c>
      <c r="B66" s="4" t="inlineStr">
        <is>
          <t>FIXED COSTS</t>
        </is>
      </c>
      <c r="C66" s="4" t="inlineStr">
        <is>
          <t>Write-offs: expired, damaged, liquidated below cost</t>
        </is>
      </c>
      <c r="D66" s="4" t="inlineStr">
        <is>
          <t>Inventory losses. Non-cash but real.</t>
        </is>
      </c>
      <c r="E66" s="4" t="inlineStr">
        <is>
          <t>Stock written off or sold below cost this month, at cost.</t>
        </is>
      </c>
      <c r="F66" s="4" t="inlineStr">
        <is>
          <t>Ignoring them until year end; monthly visibility is the point.</t>
        </is>
      </c>
    </row>
    <row r="67">
      <c r="A67" s="4" t="inlineStr">
        <is>
          <t>Consolidated P&amp;L</t>
        </is>
      </c>
      <c r="B67" s="4" t="inlineStr">
        <is>
          <t>FIXED COSTS</t>
        </is>
      </c>
      <c r="C67" s="4" t="inlineStr">
        <is>
          <t>OPERATING EBITDA</t>
        </is>
      </c>
      <c r="D67" s="4" t="inlineStr">
        <is>
          <t>Profit before interest, depreciation, tax and one-offs. The bottom line an investor compares across brands.</t>
        </is>
      </c>
      <c r="E67" s="4" t="inlineStr"/>
      <c r="F67" s="4" t="inlineStr"/>
    </row>
    <row r="68">
      <c r="A68" s="4" t="inlineStr">
        <is>
          <t>Consolidated P&amp;L</t>
        </is>
      </c>
      <c r="B68" s="4" t="inlineStr">
        <is>
          <t>FIXED COSTS</t>
        </is>
      </c>
      <c r="C68" s="4" t="inlineStr">
        <is>
          <t>One-time / exceptional costs</t>
        </is>
      </c>
      <c r="D68" s="4" t="inlineStr">
        <is>
          <t>Costs that will not recur and should not be in the run-rate.</t>
        </is>
      </c>
      <c r="E68" s="4" t="inlineStr">
        <is>
          <t>Fund-raise costs, legal settlements, relocation. Genuinely non-recurring only.</t>
        </is>
      </c>
      <c r="F68" s="4" t="inlineStr">
        <is>
          <t>Calling every bad month 'one-time'. If it happens twice a year, it is operating.</t>
        </is>
      </c>
    </row>
    <row r="69">
      <c r="A69" s="4" t="inlineStr">
        <is>
          <t>Consolidated P&amp;L</t>
        </is>
      </c>
      <c r="B69" s="4" t="inlineStr">
        <is>
          <t>FIXED COSTS</t>
        </is>
      </c>
      <c r="C69" s="4" t="inlineStr">
        <is>
          <t>REPORTED EBITDA</t>
        </is>
      </c>
      <c r="D69" s="4" t="inlineStr">
        <is>
          <t>Operating EBITDA less one-offs.</t>
        </is>
      </c>
      <c r="E69" s="4" t="inlineStr"/>
      <c r="F69" s="4" t="inlineStr"/>
    </row>
    <row r="70">
      <c r="A70" s="4" t="inlineStr">
        <is>
          <t>Consolidated P&amp;L</t>
        </is>
      </c>
      <c r="B70" s="4" t="inlineStr">
        <is>
          <t>BELOW EBITDA</t>
        </is>
      </c>
      <c r="C70" s="4" t="inlineStr">
        <is>
          <t>Depreciation &amp; amortisation</t>
        </is>
      </c>
      <c r="D70" s="4" t="inlineStr">
        <is>
          <t>Non-cash charge on equipment, moulds, software.</t>
        </is>
      </c>
      <c r="E70" s="4" t="inlineStr">
        <is>
          <t>From your CA, or leave blank until year end.</t>
        </is>
      </c>
      <c r="F70" s="4" t="inlineStr">
        <is>
          <t>None; small brands can leave it blank.</t>
        </is>
      </c>
    </row>
    <row r="71">
      <c r="A71" s="4" t="inlineStr">
        <is>
          <t>Consolidated P&amp;L</t>
        </is>
      </c>
      <c r="B71" s="4" t="inlineStr">
        <is>
          <t>BELOW EBITDA</t>
        </is>
      </c>
      <c r="C71" s="4" t="inlineStr">
        <is>
          <t>Interest &amp; finance charges (net of interest earned)</t>
        </is>
      </c>
      <c r="D71" s="4" t="inlineStr">
        <is>
          <t>Cost of borrowed money, net of what idle cash earned.</t>
        </is>
      </c>
      <c r="E71" s="4" t="inlineStr">
        <is>
          <t>Loan and credit-line interest paid, less FD interest earned.</t>
        </is>
      </c>
      <c r="F71" s="4" t="inlineStr">
        <is>
          <t>Adding FD interest above EBITDA to flatter it. It belongs here.</t>
        </is>
      </c>
    </row>
    <row r="72">
      <c r="A72" s="4" t="inlineStr">
        <is>
          <t>Consolidated P&amp;L</t>
        </is>
      </c>
      <c r="B72" s="4" t="inlineStr">
        <is>
          <t>BELOW EBITDA</t>
        </is>
      </c>
      <c r="C72" s="4" t="inlineStr">
        <is>
          <t>PROFIT BEFORE TAX</t>
        </is>
      </c>
      <c r="D72" s="4" t="inlineStr">
        <is>
          <t>What is left before income tax.</t>
        </is>
      </c>
      <c r="E72" s="4" t="inlineStr"/>
      <c r="F72" s="4" t="inlineStr"/>
    </row>
    <row r="73">
      <c r="A73" s="4" t="inlineStr">
        <is>
          <t>Cash &amp; Working Capital</t>
        </is>
      </c>
      <c r="B73" s="4" t="inlineStr">
        <is>
          <t>WORKING CAPITAL (closing balances at month end)</t>
        </is>
      </c>
      <c r="C73" s="4" t="inlineStr">
        <is>
          <t>Inventory at cost (finished goods + raw &amp; packing material + goods in transit)</t>
        </is>
      </c>
      <c r="D73" s="4" t="inlineStr">
        <is>
          <t>Everything you own that has not been sold, at what it cost you.</t>
        </is>
      </c>
      <c r="E73" s="4" t="inlineStr">
        <is>
          <t>Stock count or inventory system at month end, valued at cost. Include stock at 3PLs, Amazon FBA, Qcom dark stores that is still yours.</t>
        </is>
      </c>
      <c r="F73" s="4" t="inlineStr">
        <is>
          <t>Valuing at MRP, or forgetting stock sitting with Amazon and Qcom partners.</t>
        </is>
      </c>
    </row>
    <row r="74">
      <c r="A74" s="4" t="inlineStr">
        <is>
          <t>Cash &amp; Working Capital</t>
        </is>
      </c>
      <c r="B74" s="4" t="inlineStr">
        <is>
          <t>WORKING CAPITAL (closing balances at month end)</t>
        </is>
      </c>
      <c r="C74" s="4" t="inlineStr">
        <is>
          <t>Receivables (money owed to you by platforms, partners, retailers)</t>
        </is>
      </c>
      <c r="D74" s="4" t="inlineStr">
        <is>
          <t>Sales you have made but not been paid for yet.</t>
        </is>
      </c>
      <c r="E74" s="4" t="inlineStr">
        <is>
          <t>Unsettled marketplace payouts + Qcom / B2B / distributor invoices unpaid + COD remittances pending from couriers.</t>
        </is>
      </c>
      <c r="F74" s="4" t="inlineStr">
        <is>
          <t>Forgetting COD cash sitting with the courier for 7–10 days.</t>
        </is>
      </c>
    </row>
    <row r="75">
      <c r="A75" s="4" t="inlineStr">
        <is>
          <t>Cash &amp; Working Capital</t>
        </is>
      </c>
      <c r="B75" s="4" t="inlineStr">
        <is>
          <t>WORKING CAPITAL (closing balances at month end)</t>
        </is>
      </c>
      <c r="C75" s="4" t="inlineStr">
        <is>
          <t>Payables (money you owe suppliers, agencies, platforms)</t>
        </is>
      </c>
      <c r="D75" s="4" t="inlineStr">
        <is>
          <t>Bills you have received but not paid.</t>
        </is>
      </c>
      <c r="E75" s="4" t="inlineStr">
        <is>
          <t>Unpaid supplier, manufacturer, courier, agency and ad-platform invoices at month end.</t>
        </is>
      </c>
      <c r="F75" s="4" t="inlineStr">
        <is>
          <t>Excluding credit-card balances used for ads. They are payables.</t>
        </is>
      </c>
    </row>
    <row r="76">
      <c r="A76" s="4" t="inlineStr">
        <is>
          <t>Cash &amp; Working Capital</t>
        </is>
      </c>
      <c r="B76" s="4" t="inlineStr">
        <is>
          <t>WORKING CAPITAL (closing balances at month end)</t>
        </is>
      </c>
      <c r="C76" s="4" t="inlineStr">
        <is>
          <t>NET WORKING CAPITAL</t>
        </is>
      </c>
      <c r="D76" s="4" t="inlineStr">
        <is>
          <t>Cash tied up in running the business. Growth usually eats cash here before it shows profit.</t>
        </is>
      </c>
      <c r="E76" s="4" t="inlineStr"/>
      <c r="F76" s="4" t="inlineStr"/>
    </row>
    <row r="77">
      <c r="A77" s="4" t="inlineStr">
        <is>
          <t>Cash &amp; Working Capital</t>
        </is>
      </c>
      <c r="B77" s="4" t="inlineStr">
        <is>
          <t>WORKING CAPITAL (closing balances at month end)</t>
        </is>
      </c>
      <c r="C77" s="4" t="inlineStr">
        <is>
          <t>Inventory days (on COGS)</t>
        </is>
      </c>
      <c r="D77" s="4" t="inlineStr">
        <is>
          <t>How many days of sales your stock covers. Above your archetype band means cash is sitting on shelves.</t>
        </is>
      </c>
      <c r="E77" s="4" t="inlineStr"/>
      <c r="F77" s="4" t="inlineStr"/>
    </row>
    <row r="78">
      <c r="A78" s="4" t="inlineStr">
        <is>
          <t>Cash &amp; Working Capital</t>
        </is>
      </c>
      <c r="B78" s="4" t="inlineStr">
        <is>
          <t>WORKING CAPITAL (closing balances at month end)</t>
        </is>
      </c>
      <c r="C78" s="4" t="inlineStr">
        <is>
          <t>Receivable days (on net sales)</t>
        </is>
      </c>
      <c r="D78" s="4" t="inlineStr">
        <is>
          <t>How long customers and platforms take to pay you.</t>
        </is>
      </c>
      <c r="E78" s="4" t="inlineStr"/>
      <c r="F78" s="4" t="inlineStr"/>
    </row>
    <row r="79">
      <c r="A79" s="4" t="inlineStr">
        <is>
          <t>Cash &amp; Working Capital</t>
        </is>
      </c>
      <c r="B79" s="4" t="inlineStr">
        <is>
          <t>WORKING CAPITAL (closing balances at month end)</t>
        </is>
      </c>
      <c r="C79" s="4" t="inlineStr">
        <is>
          <t>Payable days (on COGS)</t>
        </is>
      </c>
      <c r="D79" s="4" t="inlineStr">
        <is>
          <t>How long you take to pay suppliers. Long is good for cash, bad for relationships.</t>
        </is>
      </c>
      <c r="E79" s="4" t="inlineStr"/>
      <c r="F79" s="4" t="inlineStr"/>
    </row>
    <row r="80">
      <c r="A80" s="4" t="inlineStr">
        <is>
          <t>Cash &amp; Working Capital</t>
        </is>
      </c>
      <c r="B80" s="4" t="inlineStr">
        <is>
          <t>WORKING CAPITAL (closing balances at month end)</t>
        </is>
      </c>
      <c r="C80" s="4" t="inlineStr">
        <is>
          <t>Cash conversion cycle (days)</t>
        </is>
      </c>
      <c r="D80" s="4" t="inlineStr">
        <is>
          <t>Days between paying for stock and getting paid for it. Lower is better; negative means suppliers fund your growth.</t>
        </is>
      </c>
      <c r="E80" s="4" t="inlineStr"/>
      <c r="F80" s="4" t="inlineStr"/>
    </row>
    <row r="81">
      <c r="A81" s="4" t="inlineStr">
        <is>
          <t>Cash &amp; Working Capital</t>
        </is>
      </c>
      <c r="B81" s="4" t="inlineStr">
        <is>
          <t>CASH FLOW</t>
        </is>
      </c>
      <c r="C81" s="4" t="inlineStr">
        <is>
          <t>Opening cash (bank + wallets + FDs)</t>
        </is>
      </c>
      <c r="D81" s="4" t="inlineStr">
        <is>
          <t>Cash at the start of the month.</t>
        </is>
      </c>
      <c r="E81" s="4" t="inlineStr">
        <is>
          <t>Bank balances on the 1st. Only the first month is typed; later months roll forward.</t>
        </is>
      </c>
      <c r="F81" s="4" t="inlineStr">
        <is>
          <t>Typing every month. Only month one is an input; the rest are formulas.</t>
        </is>
      </c>
    </row>
    <row r="82">
      <c r="A82" s="4" t="inlineStr">
        <is>
          <t>Cash &amp; Working Capital</t>
        </is>
      </c>
      <c r="B82" s="4" t="inlineStr">
        <is>
          <t>CASH FLOW</t>
        </is>
      </c>
      <c r="C82" s="4" t="inlineStr">
        <is>
          <t>Less: increase in working capital</t>
        </is>
      </c>
      <c r="D82" s="4" t="inlineStr">
        <is>
          <t>Cash absorbed (or released) by inventory, receivables and payables moving.</t>
        </is>
      </c>
      <c r="E82" s="4" t="inlineStr"/>
      <c r="F82" s="4" t="inlineStr"/>
    </row>
    <row r="83">
      <c r="A83" s="4" t="inlineStr">
        <is>
          <t>Cash &amp; Working Capital</t>
        </is>
      </c>
      <c r="B83" s="4" t="inlineStr">
        <is>
          <t>CASH FLOW</t>
        </is>
      </c>
      <c r="C83" s="4" t="inlineStr">
        <is>
          <t>Less: capex (equipment, moulds, fit-outs, software builds)</t>
        </is>
      </c>
      <c r="D83" s="4" t="inlineStr">
        <is>
          <t>Money spent on things that last more than a year.</t>
        </is>
      </c>
      <c r="E83" s="4" t="inlineStr">
        <is>
          <t>Asset purchases this month.</t>
        </is>
      </c>
      <c r="F83" s="4" t="inlineStr">
        <is>
          <t>Putting capex in the P&amp;L as an expense.</t>
        </is>
      </c>
    </row>
    <row r="84">
      <c r="A84" s="4" t="inlineStr">
        <is>
          <t>Cash &amp; Working Capital</t>
        </is>
      </c>
      <c r="B84" s="4" t="inlineStr">
        <is>
          <t>CASH FLOW</t>
        </is>
      </c>
      <c r="C84" s="4" t="inlineStr">
        <is>
          <t>Less: taxes paid (income tax, net GST paid)</t>
        </is>
      </c>
      <c r="D84" s="4" t="inlineStr">
        <is>
          <t>Tax actually paid in cash this month.</t>
        </is>
      </c>
      <c r="E84" s="4" t="inlineStr">
        <is>
          <t>Advance tax, TDS deposited, net GST cash outflow.</t>
        </is>
      </c>
      <c r="F84" s="4" t="inlineStr">
        <is>
          <t>Confusing GST collected with GST paid; only the net cash outflow goes here.</t>
        </is>
      </c>
    </row>
    <row r="85">
      <c r="A85" s="4" t="inlineStr">
        <is>
          <t>Cash &amp; Working Capital</t>
        </is>
      </c>
      <c r="B85" s="4" t="inlineStr">
        <is>
          <t>CASH FLOW</t>
        </is>
      </c>
      <c r="C85" s="4" t="inlineStr">
        <is>
          <t>Add: equity raised</t>
        </is>
      </c>
      <c r="D85" s="4" t="inlineStr">
        <is>
          <t>New equity money in.</t>
        </is>
      </c>
      <c r="E85" s="4" t="inlineStr">
        <is>
          <t>Money received from investors or founders this month.</t>
        </is>
      </c>
      <c r="F85" s="4" t="inlineStr">
        <is>
          <t>Including convertible notes here and also under debt.</t>
        </is>
      </c>
    </row>
    <row r="86">
      <c r="A86" s="4" t="inlineStr">
        <is>
          <t>Cash &amp; Working Capital</t>
        </is>
      </c>
      <c r="B86" s="4" t="inlineStr">
        <is>
          <t>CASH FLOW</t>
        </is>
      </c>
      <c r="C86" s="4" t="inlineStr">
        <is>
          <t>Add: debt drawn less repaid</t>
        </is>
      </c>
      <c r="D86" s="4" t="inlineStr">
        <is>
          <t>Net borrowing this month. Negative if you repaid more than you drew.</t>
        </is>
      </c>
      <c r="E86" s="4" t="inlineStr">
        <is>
          <t>Loans, credit lines, venture debt drawn, net of principal repaid.</t>
        </is>
      </c>
      <c r="F86" s="4" t="inlineStr">
        <is>
          <t>Entering repayments as positive.</t>
        </is>
      </c>
    </row>
    <row r="87">
      <c r="A87" s="4" t="inlineStr">
        <is>
          <t>Cash &amp; Working Capital</t>
        </is>
      </c>
      <c r="B87" s="4" t="inlineStr">
        <is>
          <t>CASH FLOW</t>
        </is>
      </c>
      <c r="C87" s="4" t="inlineStr">
        <is>
          <t>Other cash movements</t>
        </is>
      </c>
      <c r="D87" s="4" t="inlineStr">
        <is>
          <t>Catch-all so closing cash matches the bank.</t>
        </is>
      </c>
      <c r="E87" s="4" t="inlineStr">
        <is>
          <t>Anything else: deposits paid, refunds received, corrections.</t>
        </is>
      </c>
      <c r="F87" s="4" t="inlineStr">
        <is>
          <t>Using it to hide a P&amp;L gap. Explain any big number in a note.</t>
        </is>
      </c>
    </row>
    <row r="88">
      <c r="A88" s="4" t="inlineStr">
        <is>
          <t>Cash &amp; Working Capital</t>
        </is>
      </c>
      <c r="B88" s="4" t="inlineStr">
        <is>
          <t>CASH FLOW</t>
        </is>
      </c>
      <c r="C88" s="4" t="inlineStr">
        <is>
          <t>CLOSING CASH</t>
        </is>
      </c>
      <c r="D88" s="4" t="inlineStr">
        <is>
          <t>Should equal your bank balance on the last day. If it does not, something above is misclassified.</t>
        </is>
      </c>
      <c r="E88" s="4" t="inlineStr"/>
      <c r="F88" s="4" t="inlineStr"/>
    </row>
    <row r="89">
      <c r="A89" s="4" t="inlineStr">
        <is>
          <t>Cash &amp; Working Capital</t>
        </is>
      </c>
      <c r="B89" s="4" t="inlineStr">
        <is>
          <t>CASH FLOW</t>
        </is>
      </c>
      <c r="C89" s="4" t="inlineStr">
        <is>
          <t>Net burn (negative = cash consumed)</t>
        </is>
      </c>
      <c r="D89" s="4" t="inlineStr">
        <is>
          <t>Cash consumed this month, before financing is the honest view: add back equity and debt to see operating burn.</t>
        </is>
      </c>
      <c r="E89" s="4" t="inlineStr"/>
      <c r="F89" s="4" t="inlineStr"/>
    </row>
    <row r="90">
      <c r="A90" s="4" t="inlineStr">
        <is>
          <t>Cash &amp; Working Capital</t>
        </is>
      </c>
      <c r="B90" s="4" t="inlineStr">
        <is>
          <t>CASH FLOW</t>
        </is>
      </c>
      <c r="C90" s="4" t="inlineStr">
        <is>
          <t>Operating burn (before equity &amp; debt)</t>
        </is>
      </c>
      <c r="D90" s="4" t="inlineStr">
        <is>
          <t>Cash the business itself consumed. The runway denominator.</t>
        </is>
      </c>
      <c r="E90" s="4" t="inlineStr"/>
      <c r="F90" s="4" t="inlineStr"/>
    </row>
    <row r="91">
      <c r="A91" s="4" t="inlineStr">
        <is>
          <t>Cash &amp; Working Capital</t>
        </is>
      </c>
      <c r="B91" s="4" t="inlineStr">
        <is>
          <t>CASH FLOW</t>
        </is>
      </c>
      <c r="C91" s="4" t="inlineStr">
        <is>
          <t>Runway (months, on last 3 months' operating burn)</t>
        </is>
      </c>
      <c r="D91" s="4" t="inlineStr">
        <is>
          <t>Closing cash divided by average operating burn over the last three months. Blank while burn is positive.</t>
        </is>
      </c>
      <c r="E91" s="4" t="inlineStr"/>
      <c r="F9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2026-09-19T18:43:55Z</dcterms:created>
  <dcterms:modified xmlns:dcterms="http://purl.org/dc/terms/" xmlns:xsi="http://www.w3.org/2001/XMLSchema-instance" xsi:type="dcterms:W3CDTF">2026-09-19T18:43:55Z</dcterms:modified>
</cp:coreProperties>
</file>